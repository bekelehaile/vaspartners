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ayneh.mekonnen\Desktop\OLD File\disk D\disk D\April 2026\"/>
    </mc:Choice>
  </mc:AlternateContent>
  <xr:revisionPtr revIDLastSave="0" documentId="13_ncr:1_{A570D889-0818-42D0-B375-B9E857291712}" xr6:coauthVersionLast="47" xr6:coauthVersionMax="47" xr10:uidLastSave="{00000000-0000-0000-0000-000000000000}"/>
  <bookViews>
    <workbookView xWindow="-110" yWindow="-110" windowWidth="19420" windowHeight="10300" tabRatio="914" firstSheet="6" activeTab="6" xr2:uid="{00000000-000D-0000-FFFF-FFFF00000000}"/>
  </bookViews>
  <sheets>
    <sheet name="Premium SMS MT" sheetId="36" state="hidden" r:id="rId1"/>
    <sheet name="CSA" sheetId="56" state="hidden" r:id="rId2"/>
    <sheet name="API with MA" sheetId="48" state="hidden" r:id="rId3"/>
    <sheet name="Voice_Premium" sheetId="54" state="hidden" r:id="rId4"/>
    <sheet name="API- Call Signature" sheetId="61" state="hidden" r:id="rId5"/>
    <sheet name="API-Mega Promo 130" sheetId="64" state="hidden" r:id="rId6"/>
    <sheet name="API with MA " sheetId="98" r:id="rId7"/>
    <sheet name="SMS-MO_Premium" sheetId="46" r:id="rId8"/>
    <sheet name="Premium SMS MT " sheetId="100" r:id="rId9"/>
    <sheet name="CRBT-Partners" sheetId="101" r:id="rId10"/>
    <sheet name="Voice" sheetId="13" state="hidden" r:id="rId11"/>
  </sheets>
  <externalReferences>
    <externalReference r:id="rId12"/>
    <externalReference r:id="rId13"/>
    <externalReference r:id="rId14"/>
  </externalReferences>
  <definedNames>
    <definedName name="_xlnm._FilterDatabase" localSheetId="4" hidden="1">'API- Call Signature'!$E$2:$F$6</definedName>
    <definedName name="_xlnm._FilterDatabase" localSheetId="2" hidden="1">'API with MA'!$A$4:$M$283</definedName>
    <definedName name="_xlnm._FilterDatabase" localSheetId="6" hidden="1">'API with MA '!$A$4:$Q$4</definedName>
    <definedName name="_xlnm._FilterDatabase" localSheetId="0" hidden="1">'Premium SMS MT'!$A$3:$O$109</definedName>
    <definedName name="_xlnm._FilterDatabase" localSheetId="8" hidden="1">'Premium SMS MT '!$D$1:$E$102</definedName>
    <definedName name="_xlnm._FilterDatabase" localSheetId="7" hidden="1">'SMS-MO_Premium'!$A$3:$L$31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00" l="1"/>
  <c r="L4" i="100" s="1"/>
  <c r="M4" i="100" s="1"/>
  <c r="J5" i="100"/>
  <c r="L5" i="100" s="1"/>
  <c r="O5" i="100" s="1"/>
  <c r="J6" i="100"/>
  <c r="J7" i="100"/>
  <c r="J8" i="100"/>
  <c r="L8" i="100" s="1"/>
  <c r="M8" i="100" s="1"/>
  <c r="J9" i="100"/>
  <c r="J10" i="100"/>
  <c r="J11" i="100"/>
  <c r="L11" i="100" s="1"/>
  <c r="N11" i="100" s="1"/>
  <c r="J12" i="100"/>
  <c r="J13" i="100"/>
  <c r="L13" i="100" s="1"/>
  <c r="O13" i="100" s="1"/>
  <c r="J14" i="100"/>
  <c r="J15" i="100"/>
  <c r="L15" i="100" s="1"/>
  <c r="O15" i="100" s="1"/>
  <c r="J16" i="100"/>
  <c r="L16" i="100" s="1"/>
  <c r="O16" i="100" s="1"/>
  <c r="J17" i="100"/>
  <c r="J18" i="100"/>
  <c r="J19" i="100"/>
  <c r="J20" i="100"/>
  <c r="L20" i="100" s="1"/>
  <c r="M20" i="100" s="1"/>
  <c r="J21" i="100"/>
  <c r="L21" i="100" s="1"/>
  <c r="N21" i="100" s="1"/>
  <c r="J22" i="100"/>
  <c r="J23" i="100"/>
  <c r="J24" i="100"/>
  <c r="L24" i="100" s="1"/>
  <c r="N24" i="100" s="1"/>
  <c r="J25" i="100"/>
  <c r="J26" i="100"/>
  <c r="J27" i="100"/>
  <c r="J28" i="100"/>
  <c r="J29" i="100"/>
  <c r="L29" i="100" s="1"/>
  <c r="N29" i="100" s="1"/>
  <c r="J30" i="100"/>
  <c r="J31" i="100"/>
  <c r="L31" i="100" s="1"/>
  <c r="O31" i="100" s="1"/>
  <c r="J33" i="100"/>
  <c r="L33" i="100" s="1"/>
  <c r="O33" i="100" s="1"/>
  <c r="J34" i="100"/>
  <c r="J35" i="100"/>
  <c r="J36" i="100"/>
  <c r="J37" i="100"/>
  <c r="L37" i="100" s="1"/>
  <c r="O37" i="100" s="1"/>
  <c r="J38" i="100"/>
  <c r="L38" i="100" s="1"/>
  <c r="O38" i="100" s="1"/>
  <c r="J39" i="100"/>
  <c r="J40" i="100"/>
  <c r="J41" i="100"/>
  <c r="L41" i="100" s="1"/>
  <c r="O41" i="100" s="1"/>
  <c r="J42" i="100"/>
  <c r="J44" i="100"/>
  <c r="J46" i="100"/>
  <c r="J48" i="100"/>
  <c r="J49" i="100"/>
  <c r="L49" i="100" s="1"/>
  <c r="N49" i="100" s="1"/>
  <c r="J50" i="100"/>
  <c r="J52" i="100"/>
  <c r="J53" i="100"/>
  <c r="L53" i="100" s="1"/>
  <c r="N53" i="100" s="1"/>
  <c r="J54" i="100"/>
  <c r="L54" i="100" s="1"/>
  <c r="O54" i="100" s="1"/>
  <c r="J55" i="100"/>
  <c r="J56" i="100"/>
  <c r="J57" i="100"/>
  <c r="J58" i="100"/>
  <c r="L58" i="100" s="1"/>
  <c r="O58" i="100" s="1"/>
  <c r="J59" i="100"/>
  <c r="J61" i="100"/>
  <c r="J62" i="100"/>
  <c r="J63" i="100"/>
  <c r="J65" i="100"/>
  <c r="J67" i="100"/>
  <c r="J73" i="100"/>
  <c r="L9" i="100"/>
  <c r="O9" i="100" s="1"/>
  <c r="L17" i="100"/>
  <c r="O17" i="100" s="1"/>
  <c r="L19" i="100"/>
  <c r="O19" i="100" s="1"/>
  <c r="L25" i="100"/>
  <c r="O25" i="100" s="1"/>
  <c r="L26" i="100"/>
  <c r="O26" i="100" s="1"/>
  <c r="L27" i="100"/>
  <c r="N27" i="100" s="1"/>
  <c r="L28" i="100"/>
  <c r="M28" i="100" s="1"/>
  <c r="L35" i="100"/>
  <c r="N35" i="100" s="1"/>
  <c r="L36" i="100"/>
  <c r="N36" i="100" s="1"/>
  <c r="L43" i="100"/>
  <c r="O43" i="100" s="1"/>
  <c r="L44" i="100"/>
  <c r="M44" i="100" s="1"/>
  <c r="L46" i="100"/>
  <c r="O46" i="100" s="1"/>
  <c r="L51" i="100"/>
  <c r="M51" i="100" s="1"/>
  <c r="L52" i="100"/>
  <c r="O52" i="100" s="1"/>
  <c r="L55" i="100"/>
  <c r="N55" i="100" s="1"/>
  <c r="L56" i="100"/>
  <c r="O56" i="100" s="1"/>
  <c r="L57" i="100"/>
  <c r="O57" i="100" s="1"/>
  <c r="L59" i="100"/>
  <c r="O59" i="100" s="1"/>
  <c r="L60" i="100"/>
  <c r="M60" i="100" s="1"/>
  <c r="L62" i="100"/>
  <c r="N62" i="100" s="1"/>
  <c r="L63" i="100"/>
  <c r="N63" i="100" s="1"/>
  <c r="L64" i="100"/>
  <c r="O64" i="100" s="1"/>
  <c r="L65" i="100"/>
  <c r="N65" i="100" s="1"/>
  <c r="L67" i="100"/>
  <c r="O67" i="100" s="1"/>
  <c r="L68" i="100"/>
  <c r="M68" i="100" s="1"/>
  <c r="L69" i="100"/>
  <c r="N69" i="100" s="1"/>
  <c r="L72" i="100"/>
  <c r="L73" i="100"/>
  <c r="N73" i="100" s="1"/>
  <c r="L75" i="100"/>
  <c r="N75" i="100" s="1"/>
  <c r="L76" i="100"/>
  <c r="M76" i="100" s="1"/>
  <c r="L77" i="100"/>
  <c r="N77" i="100" s="1"/>
  <c r="L80" i="100"/>
  <c r="O80" i="100" s="1"/>
  <c r="L81" i="100"/>
  <c r="N81" i="100" s="1"/>
  <c r="L83" i="100"/>
  <c r="O83" i="100" s="1"/>
  <c r="L84" i="100"/>
  <c r="M84" i="100" s="1"/>
  <c r="L85" i="100"/>
  <c r="N85" i="100" s="1"/>
  <c r="L88" i="100"/>
  <c r="N88" i="100" s="1"/>
  <c r="L89" i="100"/>
  <c r="N89" i="100" s="1"/>
  <c r="L91" i="100"/>
  <c r="N91" i="100" s="1"/>
  <c r="L92" i="100"/>
  <c r="M92" i="100" s="1"/>
  <c r="L93" i="100"/>
  <c r="N93" i="100" s="1"/>
  <c r="L94" i="100"/>
  <c r="O94" i="100" s="1"/>
  <c r="L95" i="100"/>
  <c r="O95" i="100" s="1"/>
  <c r="L96" i="100"/>
  <c r="O96" i="100" s="1"/>
  <c r="L97" i="100"/>
  <c r="N97" i="100" s="1"/>
  <c r="L98" i="100"/>
  <c r="O98" i="100" s="1"/>
  <c r="L99" i="100"/>
  <c r="M99" i="100" s="1"/>
  <c r="L100" i="100"/>
  <c r="N100" i="100" s="1"/>
  <c r="L101" i="100"/>
  <c r="O101" i="100" s="1"/>
  <c r="C213" i="101"/>
  <c r="F213" i="101"/>
  <c r="E213" i="101"/>
  <c r="D213" i="101"/>
  <c r="G212" i="101"/>
  <c r="G211" i="101"/>
  <c r="G210" i="101"/>
  <c r="G209" i="101"/>
  <c r="G208" i="101"/>
  <c r="G207" i="101"/>
  <c r="G206" i="101"/>
  <c r="G205" i="101"/>
  <c r="G204" i="101"/>
  <c r="G203" i="101"/>
  <c r="G202" i="101"/>
  <c r="G201" i="101"/>
  <c r="G200" i="101"/>
  <c r="G199" i="101"/>
  <c r="G198" i="101"/>
  <c r="G197" i="101"/>
  <c r="G196" i="101"/>
  <c r="G195" i="101"/>
  <c r="G194" i="101"/>
  <c r="G193" i="101"/>
  <c r="G192" i="101"/>
  <c r="G191" i="101"/>
  <c r="G190" i="101"/>
  <c r="G189" i="101"/>
  <c r="G188" i="101"/>
  <c r="G187" i="101"/>
  <c r="G186" i="101"/>
  <c r="G185" i="101"/>
  <c r="G184" i="101"/>
  <c r="G183" i="101"/>
  <c r="G182" i="101"/>
  <c r="G181" i="101"/>
  <c r="G180" i="101"/>
  <c r="G179" i="101"/>
  <c r="G178" i="101"/>
  <c r="G177" i="101"/>
  <c r="G176" i="101"/>
  <c r="G175" i="101"/>
  <c r="G174" i="101"/>
  <c r="G173" i="101"/>
  <c r="G172" i="101"/>
  <c r="G171" i="101"/>
  <c r="G170" i="101"/>
  <c r="G169" i="101"/>
  <c r="G168" i="101"/>
  <c r="G167" i="101"/>
  <c r="G166" i="101"/>
  <c r="G165" i="101"/>
  <c r="G164" i="101"/>
  <c r="G163" i="101"/>
  <c r="G162" i="101"/>
  <c r="G161" i="101"/>
  <c r="G160" i="101"/>
  <c r="G159" i="101"/>
  <c r="G158" i="101"/>
  <c r="G157" i="101"/>
  <c r="G156" i="101"/>
  <c r="G155" i="101"/>
  <c r="G154" i="101"/>
  <c r="G153" i="101"/>
  <c r="G152" i="101"/>
  <c r="G151" i="101"/>
  <c r="G150" i="101"/>
  <c r="G149" i="101"/>
  <c r="G148" i="101"/>
  <c r="G147" i="101"/>
  <c r="G146" i="101"/>
  <c r="G145" i="101"/>
  <c r="G144" i="101"/>
  <c r="G143" i="101"/>
  <c r="G142" i="101"/>
  <c r="G141" i="101"/>
  <c r="G140" i="101"/>
  <c r="G139" i="101"/>
  <c r="G138" i="101"/>
  <c r="G137" i="101"/>
  <c r="G136" i="101"/>
  <c r="G135" i="101"/>
  <c r="G134" i="101"/>
  <c r="G133" i="101"/>
  <c r="G132" i="101"/>
  <c r="G131" i="101"/>
  <c r="G130" i="101"/>
  <c r="G129" i="101"/>
  <c r="G128" i="101"/>
  <c r="G127" i="101"/>
  <c r="G126" i="101"/>
  <c r="G125" i="101"/>
  <c r="G124" i="101"/>
  <c r="G123" i="101"/>
  <c r="G122" i="101"/>
  <c r="G121" i="101"/>
  <c r="G120" i="101"/>
  <c r="G119" i="101"/>
  <c r="G118" i="101"/>
  <c r="G117" i="101"/>
  <c r="G116" i="101"/>
  <c r="G115" i="101"/>
  <c r="G114" i="101"/>
  <c r="G113" i="101"/>
  <c r="G112" i="101"/>
  <c r="G111" i="101"/>
  <c r="G110" i="101"/>
  <c r="G109" i="101"/>
  <c r="G108" i="101"/>
  <c r="G107" i="101"/>
  <c r="G106" i="101"/>
  <c r="G105" i="101"/>
  <c r="G104" i="101"/>
  <c r="G103" i="101"/>
  <c r="G102" i="101"/>
  <c r="G101" i="101"/>
  <c r="G100" i="101"/>
  <c r="G99" i="101"/>
  <c r="G98" i="101"/>
  <c r="G97" i="101"/>
  <c r="G96" i="101"/>
  <c r="G95" i="101"/>
  <c r="G94" i="101"/>
  <c r="G93" i="101"/>
  <c r="G92" i="101"/>
  <c r="G91" i="101"/>
  <c r="G90" i="101"/>
  <c r="G89" i="101"/>
  <c r="G88" i="101"/>
  <c r="G87" i="101"/>
  <c r="G86" i="101"/>
  <c r="G85" i="101"/>
  <c r="G84" i="101"/>
  <c r="G83" i="101"/>
  <c r="G82" i="101"/>
  <c r="G81" i="101"/>
  <c r="G80" i="101"/>
  <c r="G79" i="101"/>
  <c r="G78" i="101"/>
  <c r="G77" i="101"/>
  <c r="G76" i="101"/>
  <c r="G75" i="101"/>
  <c r="G74" i="101"/>
  <c r="G73" i="101"/>
  <c r="G72" i="101"/>
  <c r="G71" i="101"/>
  <c r="G70" i="101"/>
  <c r="G69" i="101"/>
  <c r="G68" i="101"/>
  <c r="G67" i="101"/>
  <c r="G66" i="101"/>
  <c r="G65" i="101"/>
  <c r="G64" i="101"/>
  <c r="G63" i="101"/>
  <c r="G62" i="101"/>
  <c r="G61" i="101"/>
  <c r="G60" i="101"/>
  <c r="G59" i="101"/>
  <c r="G58" i="101"/>
  <c r="G57" i="101"/>
  <c r="G56" i="101"/>
  <c r="G55" i="101"/>
  <c r="G54" i="101"/>
  <c r="G53" i="101"/>
  <c r="G52" i="101"/>
  <c r="G51" i="101"/>
  <c r="G50" i="101"/>
  <c r="G49" i="101"/>
  <c r="G48" i="101"/>
  <c r="G47" i="101"/>
  <c r="G46" i="101"/>
  <c r="G45" i="101"/>
  <c r="G44" i="101"/>
  <c r="G43" i="101"/>
  <c r="G42" i="101"/>
  <c r="G41" i="101"/>
  <c r="G40" i="101"/>
  <c r="G39" i="101"/>
  <c r="G38" i="101"/>
  <c r="G37" i="101"/>
  <c r="G36" i="101"/>
  <c r="G35" i="101"/>
  <c r="G34" i="101"/>
  <c r="G33" i="101"/>
  <c r="G32" i="101"/>
  <c r="G31" i="101"/>
  <c r="G30" i="101"/>
  <c r="G29" i="101"/>
  <c r="G28" i="101"/>
  <c r="G27" i="101"/>
  <c r="G26" i="101"/>
  <c r="G25" i="101"/>
  <c r="G24" i="101"/>
  <c r="G23" i="101"/>
  <c r="G22" i="101"/>
  <c r="G21" i="101"/>
  <c r="G20" i="101"/>
  <c r="G19" i="101"/>
  <c r="G18" i="101"/>
  <c r="G17" i="101"/>
  <c r="G16" i="101"/>
  <c r="G15" i="101"/>
  <c r="G14" i="101"/>
  <c r="G13" i="101"/>
  <c r="G12" i="101"/>
  <c r="G11" i="101"/>
  <c r="G10" i="101"/>
  <c r="G9" i="101"/>
  <c r="G8" i="101"/>
  <c r="G7" i="101"/>
  <c r="G6" i="101"/>
  <c r="G5" i="101"/>
  <c r="G4" i="101"/>
  <c r="G3" i="101"/>
  <c r="K102" i="100"/>
  <c r="H102" i="100"/>
  <c r="G102" i="100"/>
  <c r="F102" i="100"/>
  <c r="E102" i="100"/>
  <c r="L90" i="100"/>
  <c r="O90" i="100" s="1"/>
  <c r="L87" i="100"/>
  <c r="N87" i="100" s="1"/>
  <c r="L86" i="100"/>
  <c r="O86" i="100" s="1"/>
  <c r="L82" i="100"/>
  <c r="O82" i="100" s="1"/>
  <c r="L79" i="100"/>
  <c r="N79" i="100" s="1"/>
  <c r="L78" i="100"/>
  <c r="O78" i="100" s="1"/>
  <c r="L74" i="100"/>
  <c r="N74" i="100" s="1"/>
  <c r="L71" i="100"/>
  <c r="N71" i="100" s="1"/>
  <c r="L70" i="100"/>
  <c r="O70" i="100" s="1"/>
  <c r="L66" i="100"/>
  <c r="N66" i="100" s="1"/>
  <c r="L61" i="100"/>
  <c r="N61" i="100" s="1"/>
  <c r="L50" i="100"/>
  <c r="O50" i="100" s="1"/>
  <c r="L48" i="100"/>
  <c r="O48" i="100" s="1"/>
  <c r="L47" i="100"/>
  <c r="M47" i="100" s="1"/>
  <c r="L45" i="100"/>
  <c r="N45" i="100" s="1"/>
  <c r="L42" i="100"/>
  <c r="M42" i="100" s="1"/>
  <c r="L40" i="100"/>
  <c r="M40" i="100" s="1"/>
  <c r="L39" i="100"/>
  <c r="N39" i="100" s="1"/>
  <c r="L34" i="100"/>
  <c r="O34" i="100" s="1"/>
  <c r="L32" i="100"/>
  <c r="O32" i="100" s="1"/>
  <c r="L30" i="100"/>
  <c r="O30" i="100" s="1"/>
  <c r="L23" i="100"/>
  <c r="O23" i="100" s="1"/>
  <c r="L22" i="100"/>
  <c r="O22" i="100" s="1"/>
  <c r="L18" i="100"/>
  <c r="O18" i="100" s="1"/>
  <c r="L14" i="100"/>
  <c r="M14" i="100" s="1"/>
  <c r="L10" i="100"/>
  <c r="O10" i="100" s="1"/>
  <c r="L7" i="100"/>
  <c r="N7" i="100" s="1"/>
  <c r="L6" i="100"/>
  <c r="O6" i="100" s="1"/>
  <c r="M16" i="100" l="1"/>
  <c r="O8" i="100"/>
  <c r="O47" i="100"/>
  <c r="J102" i="100"/>
  <c r="M72" i="100"/>
  <c r="N72" i="100"/>
  <c r="L12" i="100"/>
  <c r="M12" i="100" s="1"/>
  <c r="M62" i="100"/>
  <c r="N8" i="100"/>
  <c r="O97" i="100"/>
  <c r="N37" i="100"/>
  <c r="M7" i="100"/>
  <c r="M65" i="100"/>
  <c r="N47" i="100"/>
  <c r="O21" i="100"/>
  <c r="M15" i="100"/>
  <c r="M88" i="100"/>
  <c r="N56" i="100"/>
  <c r="O24" i="100"/>
  <c r="M21" i="100"/>
  <c r="N13" i="100"/>
  <c r="O60" i="100"/>
  <c r="M24" i="100"/>
  <c r="N14" i="100"/>
  <c r="N101" i="100"/>
  <c r="O62" i="100"/>
  <c r="M53" i="100"/>
  <c r="M52" i="100"/>
  <c r="N15" i="100"/>
  <c r="O4" i="100"/>
  <c r="O65" i="100"/>
  <c r="N68" i="100"/>
  <c r="M29" i="100"/>
  <c r="M56" i="100"/>
  <c r="N16" i="100"/>
  <c r="O7" i="100"/>
  <c r="O88" i="100"/>
  <c r="M98" i="100"/>
  <c r="N59" i="100"/>
  <c r="O99" i="100"/>
  <c r="O42" i="100"/>
  <c r="N51" i="100"/>
  <c r="O100" i="100"/>
  <c r="N52" i="100"/>
  <c r="O66" i="100"/>
  <c r="M27" i="100"/>
  <c r="O68" i="100"/>
  <c r="M97" i="100"/>
  <c r="O73" i="100"/>
  <c r="M37" i="100"/>
  <c r="M66" i="100"/>
  <c r="M101" i="100"/>
  <c r="N60" i="100"/>
  <c r="O14" i="100"/>
  <c r="O51" i="100"/>
  <c r="O72" i="100"/>
  <c r="M74" i="100"/>
  <c r="M83" i="100"/>
  <c r="M10" i="100"/>
  <c r="M85" i="100"/>
  <c r="M34" i="100"/>
  <c r="M13" i="100"/>
  <c r="N4" i="100"/>
  <c r="N99" i="100"/>
  <c r="O74" i="100"/>
  <c r="M58" i="100"/>
  <c r="O27" i="100"/>
  <c r="M100" i="100"/>
  <c r="N83" i="100"/>
  <c r="M77" i="100"/>
  <c r="M57" i="100"/>
  <c r="M63" i="100"/>
  <c r="O84" i="100"/>
  <c r="O63" i="100"/>
  <c r="O20" i="100"/>
  <c r="N40" i="100"/>
  <c r="O36" i="100"/>
  <c r="M82" i="100"/>
  <c r="M61" i="100"/>
  <c r="M31" i="100"/>
  <c r="O81" i="100"/>
  <c r="M59" i="100"/>
  <c r="N42" i="100"/>
  <c r="O39" i="100"/>
  <c r="M79" i="100"/>
  <c r="O79" i="100"/>
  <c r="O55" i="100"/>
  <c r="M26" i="100"/>
  <c r="M95" i="100"/>
  <c r="N57" i="100"/>
  <c r="O40" i="100"/>
  <c r="O49" i="100"/>
  <c r="M36" i="100"/>
  <c r="N26" i="100"/>
  <c r="N95" i="100"/>
  <c r="M93" i="100"/>
  <c r="M71" i="100"/>
  <c r="M50" i="100"/>
  <c r="M18" i="100"/>
  <c r="O92" i="100"/>
  <c r="O71" i="100"/>
  <c r="M39" i="100"/>
  <c r="N34" i="100"/>
  <c r="N98" i="100"/>
  <c r="M23" i="100"/>
  <c r="M90" i="100"/>
  <c r="M69" i="100"/>
  <c r="O89" i="100"/>
  <c r="O44" i="100"/>
  <c r="M55" i="100"/>
  <c r="O76" i="100"/>
  <c r="M87" i="100"/>
  <c r="M45" i="100"/>
  <c r="O87" i="100"/>
  <c r="O28" i="100"/>
  <c r="N86" i="100"/>
  <c r="N54" i="100"/>
  <c r="M91" i="100"/>
  <c r="M75" i="100"/>
  <c r="M67" i="100"/>
  <c r="M43" i="100"/>
  <c r="M35" i="100"/>
  <c r="M19" i="100"/>
  <c r="M11" i="100"/>
  <c r="N92" i="100"/>
  <c r="N84" i="100"/>
  <c r="N76" i="100"/>
  <c r="N44" i="100"/>
  <c r="N28" i="100"/>
  <c r="N20" i="100"/>
  <c r="O93" i="100"/>
  <c r="O85" i="100"/>
  <c r="O77" i="100"/>
  <c r="O69" i="100"/>
  <c r="O61" i="100"/>
  <c r="O53" i="100"/>
  <c r="O45" i="100"/>
  <c r="O29" i="100"/>
  <c r="N67" i="100"/>
  <c r="N43" i="100"/>
  <c r="N19" i="100"/>
  <c r="M89" i="100"/>
  <c r="M81" i="100"/>
  <c r="M73" i="100"/>
  <c r="M49" i="100"/>
  <c r="M41" i="100"/>
  <c r="M33" i="100"/>
  <c r="M25" i="100"/>
  <c r="M17" i="100"/>
  <c r="M9" i="100"/>
  <c r="N90" i="100"/>
  <c r="N82" i="100"/>
  <c r="N58" i="100"/>
  <c r="N50" i="100"/>
  <c r="N18" i="100"/>
  <c r="N10" i="100"/>
  <c r="O91" i="100"/>
  <c r="O75" i="100"/>
  <c r="O35" i="100"/>
  <c r="O11" i="100"/>
  <c r="M96" i="100"/>
  <c r="M80" i="100"/>
  <c r="M64" i="100"/>
  <c r="M48" i="100"/>
  <c r="M32" i="100"/>
  <c r="N41" i="100"/>
  <c r="N33" i="100"/>
  <c r="N25" i="100"/>
  <c r="N17" i="100"/>
  <c r="N9" i="100"/>
  <c r="N64" i="100"/>
  <c r="N48" i="100"/>
  <c r="N32" i="100"/>
  <c r="N96" i="100"/>
  <c r="N80" i="100"/>
  <c r="M94" i="100"/>
  <c r="M86" i="100"/>
  <c r="M78" i="100"/>
  <c r="M70" i="100"/>
  <c r="M54" i="100"/>
  <c r="M46" i="100"/>
  <c r="M38" i="100"/>
  <c r="M30" i="100"/>
  <c r="M22" i="100"/>
  <c r="M6" i="100"/>
  <c r="N31" i="100"/>
  <c r="N23" i="100"/>
  <c r="N78" i="100"/>
  <c r="N70" i="100"/>
  <c r="N46" i="100"/>
  <c r="N38" i="100"/>
  <c r="N30" i="100"/>
  <c r="N22" i="100"/>
  <c r="N6" i="100"/>
  <c r="N94" i="100"/>
  <c r="M5" i="100"/>
  <c r="N5" i="100"/>
  <c r="G213" i="101"/>
  <c r="L102" i="100" l="1"/>
  <c r="O12" i="100"/>
  <c r="O102" i="100" s="1"/>
  <c r="N12" i="100"/>
  <c r="N102" i="100" s="1"/>
  <c r="M102" i="100"/>
  <c r="J283" i="98" l="1"/>
  <c r="I283" i="98"/>
  <c r="I251" i="98"/>
  <c r="J22" i="98"/>
  <c r="I22" i="98"/>
  <c r="H22" i="98"/>
  <c r="J326" i="98" l="1"/>
  <c r="J325" i="98"/>
  <c r="J324" i="98"/>
  <c r="J323" i="98"/>
  <c r="J322" i="98"/>
  <c r="J321" i="98"/>
  <c r="J320" i="98"/>
  <c r="J319" i="98"/>
  <c r="J318" i="98"/>
  <c r="J316" i="98"/>
  <c r="J313" i="98"/>
  <c r="J311" i="98"/>
  <c r="J309" i="98"/>
  <c r="J308" i="98"/>
  <c r="J307" i="98"/>
  <c r="J306" i="98"/>
  <c r="J305" i="98"/>
  <c r="J304" i="98"/>
  <c r="J303" i="98"/>
  <c r="J302" i="98"/>
  <c r="J301" i="98"/>
  <c r="J299" i="98"/>
  <c r="J298" i="98"/>
  <c r="J297" i="98"/>
  <c r="J296" i="98"/>
  <c r="J294" i="98"/>
  <c r="J293" i="98"/>
  <c r="J292" i="98"/>
  <c r="J291" i="98"/>
  <c r="J290" i="98"/>
  <c r="J289" i="98"/>
  <c r="J288" i="98"/>
  <c r="J287" i="98"/>
  <c r="J286" i="98"/>
  <c r="J285" i="98"/>
  <c r="J284" i="98"/>
  <c r="J281" i="98"/>
  <c r="J280" i="98"/>
  <c r="J279" i="98"/>
  <c r="J278" i="98"/>
  <c r="J277" i="98"/>
  <c r="J276" i="98"/>
  <c r="J274" i="98"/>
  <c r="J273" i="98"/>
  <c r="J272" i="98"/>
  <c r="J271" i="98"/>
  <c r="J270" i="98"/>
  <c r="J269" i="98"/>
  <c r="J268" i="98"/>
  <c r="J267" i="98"/>
  <c r="J266" i="98"/>
  <c r="J263" i="98"/>
  <c r="J262" i="98"/>
  <c r="J261" i="98"/>
  <c r="J260" i="98"/>
  <c r="J259" i="98"/>
  <c r="J258" i="98"/>
  <c r="J255" i="98"/>
  <c r="J252" i="98"/>
  <c r="J249" i="98"/>
  <c r="J247" i="98"/>
  <c r="J246" i="98"/>
  <c r="J245" i="98"/>
  <c r="J244" i="98"/>
  <c r="J241" i="98"/>
  <c r="J240" i="98"/>
  <c r="J239" i="98"/>
  <c r="J236" i="98"/>
  <c r="J235" i="98"/>
  <c r="J234" i="98"/>
  <c r="J232" i="98"/>
  <c r="J230" i="98"/>
  <c r="J228" i="98"/>
  <c r="J227" i="98"/>
  <c r="J226" i="98"/>
  <c r="J225" i="98"/>
  <c r="J223" i="98"/>
  <c r="J222" i="98"/>
  <c r="J220" i="98"/>
  <c r="J218" i="98"/>
  <c r="J217" i="98"/>
  <c r="J215" i="98"/>
  <c r="J213" i="98"/>
  <c r="J211" i="98"/>
  <c r="J210" i="98"/>
  <c r="J209" i="98"/>
  <c r="J208" i="98"/>
  <c r="J207" i="98"/>
  <c r="J206" i="98"/>
  <c r="J205" i="98"/>
  <c r="J204" i="98"/>
  <c r="J203" i="98"/>
  <c r="J202" i="98"/>
  <c r="J201" i="98"/>
  <c r="J200" i="98"/>
  <c r="J199" i="98"/>
  <c r="J198" i="98"/>
  <c r="J197" i="98"/>
  <c r="J196" i="98"/>
  <c r="J195" i="98"/>
  <c r="J193" i="98"/>
  <c r="J191" i="98"/>
  <c r="J190" i="98"/>
  <c r="J189" i="98"/>
  <c r="J188" i="98"/>
  <c r="J187" i="98"/>
  <c r="J186" i="98"/>
  <c r="J184" i="98"/>
  <c r="J183" i="98"/>
  <c r="J182" i="98"/>
  <c r="J181" i="98"/>
  <c r="J180" i="98"/>
  <c r="J179" i="98"/>
  <c r="J178" i="98"/>
  <c r="J177" i="98"/>
  <c r="J176" i="98"/>
  <c r="J175" i="98"/>
  <c r="J174" i="98"/>
  <c r="J173" i="98"/>
  <c r="J171" i="98"/>
  <c r="J170" i="98"/>
  <c r="J169" i="98"/>
  <c r="J168" i="98"/>
  <c r="J167" i="98"/>
  <c r="J166" i="98"/>
  <c r="J165" i="98"/>
  <c r="J164" i="98"/>
  <c r="J162" i="98"/>
  <c r="J161" i="98"/>
  <c r="J160" i="98"/>
  <c r="J159" i="98"/>
  <c r="J158" i="98"/>
  <c r="J157" i="98"/>
  <c r="J156" i="98"/>
  <c r="J155" i="98"/>
  <c r="J154" i="98"/>
  <c r="J152" i="98"/>
  <c r="J151" i="98"/>
  <c r="J150" i="98"/>
  <c r="J149" i="98"/>
  <c r="J148" i="98"/>
  <c r="J147" i="98"/>
  <c r="J146" i="98"/>
  <c r="J145" i="98"/>
  <c r="J144" i="98"/>
  <c r="J143" i="98"/>
  <c r="J142" i="98"/>
  <c r="J141" i="98"/>
  <c r="J140" i="98"/>
  <c r="J139" i="98"/>
  <c r="J138" i="98"/>
  <c r="J136" i="98"/>
  <c r="J135" i="98"/>
  <c r="J134" i="98"/>
  <c r="J133" i="98"/>
  <c r="J132" i="98"/>
  <c r="J131" i="98"/>
  <c r="J130" i="98"/>
  <c r="J129" i="98"/>
  <c r="J127" i="98"/>
  <c r="J126" i="98"/>
  <c r="J125" i="98"/>
  <c r="J124" i="98"/>
  <c r="L124" i="98" s="1"/>
  <c r="J123" i="98"/>
  <c r="J121" i="98"/>
  <c r="J120" i="98"/>
  <c r="J119" i="98"/>
  <c r="J118" i="98"/>
  <c r="J117" i="98"/>
  <c r="J115" i="98"/>
  <c r="J114" i="98"/>
  <c r="J113" i="98"/>
  <c r="J112" i="98"/>
  <c r="J111" i="98"/>
  <c r="J110" i="98"/>
  <c r="J109" i="98"/>
  <c r="J108" i="98"/>
  <c r="J107" i="98"/>
  <c r="J106" i="98"/>
  <c r="J105" i="98"/>
  <c r="J104" i="98"/>
  <c r="J102" i="98"/>
  <c r="J101" i="98"/>
  <c r="J100" i="98"/>
  <c r="J99" i="98"/>
  <c r="J98" i="98"/>
  <c r="J96" i="98"/>
  <c r="J94" i="98"/>
  <c r="J93" i="98"/>
  <c r="J92" i="98"/>
  <c r="J91" i="98"/>
  <c r="J90" i="98"/>
  <c r="J89" i="98"/>
  <c r="J88" i="98"/>
  <c r="J87" i="98"/>
  <c r="J86" i="98"/>
  <c r="J85" i="98"/>
  <c r="J84" i="98"/>
  <c r="J83" i="98"/>
  <c r="J82" i="98"/>
  <c r="J81" i="98"/>
  <c r="J78" i="98"/>
  <c r="J77" i="98"/>
  <c r="J76" i="98"/>
  <c r="J75" i="98"/>
  <c r="J74" i="98"/>
  <c r="J73" i="98"/>
  <c r="J72" i="98"/>
  <c r="J71" i="98"/>
  <c r="J70" i="98"/>
  <c r="J69" i="98"/>
  <c r="J68" i="98"/>
  <c r="J66" i="98"/>
  <c r="J65" i="98"/>
  <c r="J64" i="98"/>
  <c r="J62" i="98"/>
  <c r="J61" i="98"/>
  <c r="J60" i="98"/>
  <c r="J58" i="98"/>
  <c r="J57" i="98"/>
  <c r="J56" i="98"/>
  <c r="J55" i="98"/>
  <c r="J54" i="98"/>
  <c r="J53" i="98"/>
  <c r="J52" i="98"/>
  <c r="J51" i="98"/>
  <c r="J50" i="98"/>
  <c r="J49" i="98"/>
  <c r="J48" i="98"/>
  <c r="J47" i="98"/>
  <c r="J45" i="98"/>
  <c r="J44" i="98"/>
  <c r="J42" i="98"/>
  <c r="J41" i="98"/>
  <c r="J39" i="98"/>
  <c r="J38" i="98"/>
  <c r="J37" i="98"/>
  <c r="J35" i="98"/>
  <c r="J34" i="98"/>
  <c r="J33" i="98"/>
  <c r="J32" i="98"/>
  <c r="J31" i="98"/>
  <c r="J29" i="98"/>
  <c r="J28" i="98"/>
  <c r="J27" i="98"/>
  <c r="J26" i="98"/>
  <c r="J25" i="98"/>
  <c r="J24" i="98"/>
  <c r="J23" i="98"/>
  <c r="J21" i="98"/>
  <c r="J19" i="98"/>
  <c r="J17" i="98"/>
  <c r="J14" i="98"/>
  <c r="J10" i="98"/>
  <c r="J7" i="98"/>
  <c r="J6" i="98"/>
  <c r="I326" i="98"/>
  <c r="I325" i="98"/>
  <c r="I324" i="98"/>
  <c r="I323" i="98"/>
  <c r="I322" i="98"/>
  <c r="I321" i="98"/>
  <c r="I320" i="98"/>
  <c r="I319" i="98"/>
  <c r="I318" i="98"/>
  <c r="I316" i="98"/>
  <c r="I313" i="98"/>
  <c r="I311" i="98"/>
  <c r="I309" i="98"/>
  <c r="I308" i="98"/>
  <c r="I307" i="98"/>
  <c r="I306" i="98"/>
  <c r="I305" i="98"/>
  <c r="I304" i="98"/>
  <c r="I303" i="98"/>
  <c r="I302" i="98"/>
  <c r="I301" i="98"/>
  <c r="I299" i="98"/>
  <c r="I298" i="98"/>
  <c r="I297" i="98"/>
  <c r="I296" i="98"/>
  <c r="I294" i="98"/>
  <c r="I293" i="98"/>
  <c r="I292" i="98"/>
  <c r="I291" i="98"/>
  <c r="I290" i="98"/>
  <c r="I289" i="98"/>
  <c r="I288" i="98"/>
  <c r="I287" i="98"/>
  <c r="I286" i="98"/>
  <c r="I285" i="98"/>
  <c r="I284" i="98"/>
  <c r="I281" i="98"/>
  <c r="I280" i="98"/>
  <c r="I279" i="98"/>
  <c r="I278" i="98"/>
  <c r="I277" i="98"/>
  <c r="I276" i="98"/>
  <c r="I274" i="98"/>
  <c r="I273" i="98"/>
  <c r="I272" i="98"/>
  <c r="I271" i="98"/>
  <c r="I270" i="98"/>
  <c r="I269" i="98"/>
  <c r="I268" i="98"/>
  <c r="I267" i="98"/>
  <c r="I266" i="98"/>
  <c r="I263" i="98"/>
  <c r="I262" i="98"/>
  <c r="I261" i="98"/>
  <c r="I260" i="98"/>
  <c r="I259" i="98"/>
  <c r="I258" i="98"/>
  <c r="I255" i="98"/>
  <c r="I252" i="98"/>
  <c r="I249" i="98"/>
  <c r="I247" i="98"/>
  <c r="I246" i="98"/>
  <c r="I245" i="98"/>
  <c r="I244" i="98"/>
  <c r="I241" i="98"/>
  <c r="I240" i="98"/>
  <c r="I239" i="98"/>
  <c r="I236" i="98"/>
  <c r="I235" i="98"/>
  <c r="I234" i="98"/>
  <c r="I232" i="98"/>
  <c r="I230" i="98"/>
  <c r="I228" i="98"/>
  <c r="I227" i="98"/>
  <c r="I226" i="98"/>
  <c r="I225" i="98"/>
  <c r="I223" i="98"/>
  <c r="I222" i="98"/>
  <c r="I220" i="98"/>
  <c r="I218" i="98"/>
  <c r="I217" i="98"/>
  <c r="I215" i="98"/>
  <c r="I213" i="98"/>
  <c r="I211" i="98"/>
  <c r="I210" i="98"/>
  <c r="I209" i="98"/>
  <c r="I208" i="98"/>
  <c r="I207" i="98"/>
  <c r="I206" i="98"/>
  <c r="I205" i="98"/>
  <c r="I204" i="98"/>
  <c r="I203" i="98"/>
  <c r="I202" i="98"/>
  <c r="I201" i="98"/>
  <c r="I200" i="98"/>
  <c r="I199" i="98"/>
  <c r="I198" i="98"/>
  <c r="I197" i="98"/>
  <c r="I196" i="98"/>
  <c r="I195" i="98"/>
  <c r="I193" i="98"/>
  <c r="I191" i="98"/>
  <c r="I190" i="98"/>
  <c r="I189" i="98"/>
  <c r="I188" i="98"/>
  <c r="I187" i="98"/>
  <c r="I186" i="98"/>
  <c r="I184" i="98"/>
  <c r="I183" i="98"/>
  <c r="I182" i="98"/>
  <c r="I181" i="98"/>
  <c r="I180" i="98"/>
  <c r="I179" i="98"/>
  <c r="I178" i="98"/>
  <c r="I177" i="98"/>
  <c r="I176" i="98"/>
  <c r="I175" i="98"/>
  <c r="I174" i="98"/>
  <c r="I173" i="98"/>
  <c r="I171" i="98"/>
  <c r="I170" i="98"/>
  <c r="I169" i="98"/>
  <c r="I168" i="98"/>
  <c r="I167" i="98"/>
  <c r="I166" i="98"/>
  <c r="I165" i="98"/>
  <c r="I164" i="98"/>
  <c r="I162" i="98"/>
  <c r="I161" i="98"/>
  <c r="I160" i="98"/>
  <c r="I159" i="98"/>
  <c r="I158" i="98"/>
  <c r="I157" i="98"/>
  <c r="I156" i="98"/>
  <c r="I155" i="98"/>
  <c r="I154" i="98"/>
  <c r="I152" i="98"/>
  <c r="I151" i="98"/>
  <c r="I150" i="98"/>
  <c r="I149" i="98"/>
  <c r="I148" i="98"/>
  <c r="I147" i="98"/>
  <c r="I146" i="98"/>
  <c r="I145" i="98"/>
  <c r="I144" i="98"/>
  <c r="I143" i="98"/>
  <c r="I142" i="98"/>
  <c r="I141" i="98"/>
  <c r="I140" i="98"/>
  <c r="I139" i="98"/>
  <c r="I138" i="98"/>
  <c r="I136" i="98"/>
  <c r="I135" i="98"/>
  <c r="I134" i="98"/>
  <c r="I133" i="98"/>
  <c r="I132" i="98"/>
  <c r="I131" i="98"/>
  <c r="I130" i="98"/>
  <c r="I129" i="98"/>
  <c r="I127" i="98"/>
  <c r="I126" i="98"/>
  <c r="I125" i="98"/>
  <c r="I124" i="98"/>
  <c r="I123" i="98"/>
  <c r="I121" i="98"/>
  <c r="I120" i="98"/>
  <c r="I119" i="98"/>
  <c r="I118" i="98"/>
  <c r="I117" i="98"/>
  <c r="I115" i="98"/>
  <c r="I114" i="98"/>
  <c r="I113" i="98"/>
  <c r="I112" i="98"/>
  <c r="I111" i="98"/>
  <c r="I110" i="98"/>
  <c r="I109" i="98"/>
  <c r="I108" i="98"/>
  <c r="I107" i="98"/>
  <c r="I106" i="98"/>
  <c r="I105" i="98"/>
  <c r="I104" i="98"/>
  <c r="I102" i="98"/>
  <c r="I101" i="98"/>
  <c r="I100" i="98"/>
  <c r="I99" i="98"/>
  <c r="I98" i="98"/>
  <c r="I96" i="98"/>
  <c r="I94" i="98"/>
  <c r="I93" i="98"/>
  <c r="I92" i="98"/>
  <c r="I91" i="98"/>
  <c r="I90" i="98"/>
  <c r="I89" i="98"/>
  <c r="I88" i="98"/>
  <c r="I87" i="98"/>
  <c r="I86" i="98"/>
  <c r="I85" i="98"/>
  <c r="I84" i="98"/>
  <c r="I83" i="98"/>
  <c r="I82" i="98"/>
  <c r="I81" i="98"/>
  <c r="I78" i="98"/>
  <c r="I77" i="98"/>
  <c r="I76" i="98"/>
  <c r="I75" i="98"/>
  <c r="I74" i="98"/>
  <c r="I73" i="98"/>
  <c r="I72" i="98"/>
  <c r="I71" i="98"/>
  <c r="I70" i="98"/>
  <c r="I69" i="98"/>
  <c r="I68" i="98"/>
  <c r="I66" i="98"/>
  <c r="I65" i="98"/>
  <c r="I64" i="98"/>
  <c r="I62" i="98"/>
  <c r="I61" i="98"/>
  <c r="I60" i="98"/>
  <c r="I58" i="98"/>
  <c r="I57" i="98"/>
  <c r="I56" i="98"/>
  <c r="I55" i="98"/>
  <c r="I54" i="98"/>
  <c r="I53" i="98"/>
  <c r="I52" i="98"/>
  <c r="I51" i="98"/>
  <c r="I50" i="98"/>
  <c r="I49" i="98"/>
  <c r="I48" i="98"/>
  <c r="I47" i="98"/>
  <c r="I45" i="98"/>
  <c r="I44" i="98"/>
  <c r="I42" i="98"/>
  <c r="I41" i="98"/>
  <c r="I39" i="98"/>
  <c r="I38" i="98"/>
  <c r="I37" i="98"/>
  <c r="I35" i="98"/>
  <c r="I34" i="98"/>
  <c r="I33" i="98"/>
  <c r="I32" i="98"/>
  <c r="I31" i="98"/>
  <c r="I29" i="98"/>
  <c r="I28" i="98"/>
  <c r="I27" i="98"/>
  <c r="I26" i="98"/>
  <c r="I25" i="98"/>
  <c r="I24" i="98"/>
  <c r="I23" i="98"/>
  <c r="I21" i="98"/>
  <c r="I19" i="98"/>
  <c r="I17" i="98"/>
  <c r="I14" i="98"/>
  <c r="I10" i="98"/>
  <c r="I7" i="98"/>
  <c r="I6" i="98"/>
  <c r="H326" i="98"/>
  <c r="H325" i="98"/>
  <c r="H324" i="98"/>
  <c r="H323" i="98"/>
  <c r="H322" i="98"/>
  <c r="H321" i="98"/>
  <c r="H320" i="98"/>
  <c r="H319" i="98"/>
  <c r="H318" i="98"/>
  <c r="H316" i="98"/>
  <c r="H313" i="98"/>
  <c r="H311" i="98"/>
  <c r="H309" i="98"/>
  <c r="H308" i="98"/>
  <c r="H307" i="98"/>
  <c r="H306" i="98"/>
  <c r="H305" i="98"/>
  <c r="H304" i="98"/>
  <c r="H303" i="98"/>
  <c r="H302" i="98"/>
  <c r="H301" i="98"/>
  <c r="H299" i="98"/>
  <c r="H298" i="98"/>
  <c r="H297" i="98"/>
  <c r="H296" i="98"/>
  <c r="H294" i="98"/>
  <c r="H293" i="98"/>
  <c r="H292" i="98"/>
  <c r="H291" i="98"/>
  <c r="H290" i="98"/>
  <c r="H289" i="98"/>
  <c r="H288" i="98"/>
  <c r="H287" i="98"/>
  <c r="H286" i="98"/>
  <c r="H285" i="98"/>
  <c r="H284" i="98"/>
  <c r="H281" i="98"/>
  <c r="H280" i="98"/>
  <c r="H279" i="98"/>
  <c r="H278" i="98"/>
  <c r="H277" i="98"/>
  <c r="H276" i="98"/>
  <c r="H274" i="98"/>
  <c r="H273" i="98"/>
  <c r="H272" i="98"/>
  <c r="H271" i="98"/>
  <c r="H270" i="98"/>
  <c r="H269" i="98"/>
  <c r="H268" i="98"/>
  <c r="H267" i="98"/>
  <c r="H266" i="98"/>
  <c r="H263" i="98"/>
  <c r="H262" i="98"/>
  <c r="H261" i="98"/>
  <c r="H260" i="98"/>
  <c r="H259" i="98"/>
  <c r="H258" i="98"/>
  <c r="H255" i="98"/>
  <c r="H252" i="98"/>
  <c r="H249" i="98"/>
  <c r="H247" i="98"/>
  <c r="H246" i="98"/>
  <c r="H245" i="98"/>
  <c r="H244" i="98"/>
  <c r="H241" i="98"/>
  <c r="H240" i="98"/>
  <c r="H239" i="98"/>
  <c r="H236" i="98"/>
  <c r="H235" i="98"/>
  <c r="H234" i="98"/>
  <c r="H232" i="98"/>
  <c r="H230" i="98"/>
  <c r="H228" i="98"/>
  <c r="H227" i="98"/>
  <c r="H226" i="98"/>
  <c r="H225" i="98"/>
  <c r="H223" i="98"/>
  <c r="H222" i="98"/>
  <c r="H220" i="98"/>
  <c r="H218" i="98"/>
  <c r="H217" i="98"/>
  <c r="H215" i="98"/>
  <c r="H213" i="98"/>
  <c r="H211" i="98"/>
  <c r="H210" i="98"/>
  <c r="H209" i="98"/>
  <c r="H208" i="98"/>
  <c r="H207" i="98"/>
  <c r="H206" i="98"/>
  <c r="H205" i="98"/>
  <c r="H204" i="98"/>
  <c r="H203" i="98"/>
  <c r="H202" i="98"/>
  <c r="H201" i="98"/>
  <c r="H200" i="98"/>
  <c r="H199" i="98"/>
  <c r="H198" i="98"/>
  <c r="H197" i="98"/>
  <c r="H196" i="98"/>
  <c r="H195" i="98"/>
  <c r="H193" i="98"/>
  <c r="H191" i="98"/>
  <c r="H190" i="98"/>
  <c r="H189" i="98"/>
  <c r="H188" i="98"/>
  <c r="H187" i="98"/>
  <c r="H186" i="98"/>
  <c r="H184" i="98"/>
  <c r="H183" i="98"/>
  <c r="H182" i="98"/>
  <c r="H181" i="98"/>
  <c r="H180" i="98"/>
  <c r="H179" i="98"/>
  <c r="H178" i="98"/>
  <c r="H177" i="98"/>
  <c r="H176" i="98"/>
  <c r="H175" i="98"/>
  <c r="H174" i="98"/>
  <c r="H173" i="98"/>
  <c r="H171" i="98"/>
  <c r="H170" i="98"/>
  <c r="H169" i="98"/>
  <c r="H168" i="98"/>
  <c r="H167" i="98"/>
  <c r="H166" i="98"/>
  <c r="H165" i="98"/>
  <c r="H164" i="98"/>
  <c r="H162" i="98"/>
  <c r="H161" i="98"/>
  <c r="H160" i="98"/>
  <c r="H159" i="98"/>
  <c r="H158" i="98"/>
  <c r="H157" i="98"/>
  <c r="H156" i="98"/>
  <c r="H155" i="98"/>
  <c r="H154" i="98"/>
  <c r="H152" i="98"/>
  <c r="H151" i="98"/>
  <c r="H150" i="98"/>
  <c r="H149" i="98"/>
  <c r="H148" i="98"/>
  <c r="H147" i="98"/>
  <c r="H146" i="98"/>
  <c r="H145" i="98"/>
  <c r="H144" i="98"/>
  <c r="H143" i="98"/>
  <c r="H142" i="98"/>
  <c r="H141" i="98"/>
  <c r="H140" i="98"/>
  <c r="H139" i="98"/>
  <c r="H138" i="98"/>
  <c r="H136" i="98"/>
  <c r="H135" i="98"/>
  <c r="H134" i="98"/>
  <c r="H133" i="98"/>
  <c r="H132" i="98"/>
  <c r="H131" i="98"/>
  <c r="H130" i="98"/>
  <c r="H129" i="98"/>
  <c r="H127" i="98"/>
  <c r="H126" i="98"/>
  <c r="H125" i="98"/>
  <c r="H124" i="98"/>
  <c r="H123" i="98"/>
  <c r="H121" i="98"/>
  <c r="H120" i="98"/>
  <c r="H119" i="98"/>
  <c r="H118" i="98"/>
  <c r="H117" i="98"/>
  <c r="H115" i="98"/>
  <c r="H114" i="98"/>
  <c r="H113" i="98"/>
  <c r="H112" i="98"/>
  <c r="H111" i="98"/>
  <c r="H110" i="98"/>
  <c r="H109" i="98"/>
  <c r="H108" i="98"/>
  <c r="H107" i="98"/>
  <c r="H106" i="98"/>
  <c r="H105" i="98"/>
  <c r="H104" i="98"/>
  <c r="H102" i="98"/>
  <c r="H101" i="98"/>
  <c r="H100" i="98"/>
  <c r="H99" i="98"/>
  <c r="H98" i="98"/>
  <c r="H96" i="98"/>
  <c r="H94" i="98"/>
  <c r="H93" i="98"/>
  <c r="H92" i="98"/>
  <c r="H91" i="98"/>
  <c r="H90" i="98"/>
  <c r="H89" i="98"/>
  <c r="H88" i="98"/>
  <c r="H87" i="98"/>
  <c r="H86" i="98"/>
  <c r="H85" i="98"/>
  <c r="H84" i="98"/>
  <c r="H83" i="98"/>
  <c r="H82" i="98"/>
  <c r="H81" i="98"/>
  <c r="H78" i="98"/>
  <c r="H77" i="98"/>
  <c r="H76" i="98"/>
  <c r="H75" i="98"/>
  <c r="H74" i="98"/>
  <c r="H73" i="98"/>
  <c r="H72" i="98"/>
  <c r="H71" i="98"/>
  <c r="H70" i="98"/>
  <c r="H69" i="98"/>
  <c r="H68" i="98"/>
  <c r="H66" i="98"/>
  <c r="H65" i="98"/>
  <c r="H64" i="98"/>
  <c r="H62" i="98"/>
  <c r="H61" i="98"/>
  <c r="H60" i="98"/>
  <c r="H58" i="98"/>
  <c r="H57" i="98"/>
  <c r="H56" i="98"/>
  <c r="H55" i="98"/>
  <c r="H54" i="98"/>
  <c r="H53" i="98"/>
  <c r="H52" i="98"/>
  <c r="H51" i="98"/>
  <c r="H50" i="98"/>
  <c r="H49" i="98"/>
  <c r="H48" i="98"/>
  <c r="H47" i="98"/>
  <c r="H45" i="98"/>
  <c r="H44" i="98"/>
  <c r="H42" i="98"/>
  <c r="H41" i="98"/>
  <c r="H39" i="98"/>
  <c r="H38" i="98"/>
  <c r="H37" i="98"/>
  <c r="H35" i="98"/>
  <c r="H34" i="98"/>
  <c r="H33" i="98"/>
  <c r="H32" i="98"/>
  <c r="H31" i="98"/>
  <c r="H29" i="98"/>
  <c r="H28" i="98"/>
  <c r="H27" i="98"/>
  <c r="H26" i="98"/>
  <c r="H25" i="98"/>
  <c r="H24" i="98"/>
  <c r="H23" i="98"/>
  <c r="H21" i="98"/>
  <c r="H19" i="98"/>
  <c r="H17" i="98"/>
  <c r="H14" i="98"/>
  <c r="H10" i="98"/>
  <c r="H7" i="98"/>
  <c r="H6" i="98"/>
  <c r="J250" i="98"/>
  <c r="I250" i="98"/>
  <c r="H250" i="98"/>
  <c r="J315" i="98"/>
  <c r="J314" i="98"/>
  <c r="J282" i="98"/>
  <c r="J254" i="98"/>
  <c r="J243" i="98"/>
  <c r="J224" i="98"/>
  <c r="J185" i="98"/>
  <c r="J116" i="98"/>
  <c r="J63" i="98"/>
  <c r="J30" i="98"/>
  <c r="J20" i="98"/>
  <c r="J16" i="98"/>
  <c r="J12" i="98"/>
  <c r="J11" i="98"/>
  <c r="J8" i="98"/>
  <c r="I315" i="98"/>
  <c r="I314" i="98"/>
  <c r="I282" i="98"/>
  <c r="I254" i="98"/>
  <c r="I243" i="98"/>
  <c r="I224" i="98"/>
  <c r="I185" i="98"/>
  <c r="I116" i="98"/>
  <c r="I63" i="98"/>
  <c r="I30" i="98"/>
  <c r="I20" i="98"/>
  <c r="I16" i="98"/>
  <c r="I12" i="98"/>
  <c r="I11" i="98"/>
  <c r="I8" i="98"/>
  <c r="H315" i="98"/>
  <c r="H314" i="98"/>
  <c r="H282" i="98"/>
  <c r="H254" i="98"/>
  <c r="H243" i="98"/>
  <c r="H224" i="98"/>
  <c r="H185" i="98"/>
  <c r="H116" i="98"/>
  <c r="H63" i="98"/>
  <c r="H30" i="98"/>
  <c r="H20" i="98"/>
  <c r="H16" i="98"/>
  <c r="H12" i="98"/>
  <c r="H11" i="98"/>
  <c r="H8" i="98"/>
  <c r="J264" i="98"/>
  <c r="J256" i="98"/>
  <c r="J192" i="98"/>
  <c r="J122" i="98"/>
  <c r="I264" i="98"/>
  <c r="I256" i="98"/>
  <c r="I192" i="98"/>
  <c r="I122" i="98"/>
  <c r="H264" i="98"/>
  <c r="H256" i="98"/>
  <c r="H192" i="98"/>
  <c r="H122" i="98"/>
  <c r="J231" i="98"/>
  <c r="J95" i="98"/>
  <c r="I231" i="98"/>
  <c r="I95" i="98"/>
  <c r="H231" i="98"/>
  <c r="H95" i="98"/>
  <c r="J18" i="98"/>
  <c r="I18" i="98"/>
  <c r="H18" i="98"/>
  <c r="J295" i="98"/>
  <c r="J238" i="98"/>
  <c r="J237" i="98"/>
  <c r="J219" i="98"/>
  <c r="J214" i="98"/>
  <c r="J163" i="98"/>
  <c r="J79" i="98"/>
  <c r="J13" i="98"/>
  <c r="I295" i="98"/>
  <c r="I238" i="98"/>
  <c r="I237" i="98"/>
  <c r="I219" i="98"/>
  <c r="I214" i="98"/>
  <c r="I163" i="98"/>
  <c r="I79" i="98"/>
  <c r="I13" i="98"/>
  <c r="H295" i="98"/>
  <c r="H238" i="98"/>
  <c r="H237" i="98"/>
  <c r="H219" i="98"/>
  <c r="H214" i="98"/>
  <c r="H163" i="98"/>
  <c r="H79" i="98"/>
  <c r="H13" i="98"/>
  <c r="J253" i="98"/>
  <c r="J248" i="98"/>
  <c r="J242" i="98"/>
  <c r="J229" i="98"/>
  <c r="J221" i="98"/>
  <c r="J194" i="98"/>
  <c r="J103" i="98"/>
  <c r="L103" i="98" s="1"/>
  <c r="J67" i="98"/>
  <c r="J46" i="98"/>
  <c r="J43" i="98"/>
  <c r="J36" i="98"/>
  <c r="J15" i="98"/>
  <c r="J9" i="98"/>
  <c r="I253" i="98"/>
  <c r="I248" i="98"/>
  <c r="I242" i="98"/>
  <c r="I229" i="98"/>
  <c r="I221" i="98"/>
  <c r="I194" i="98"/>
  <c r="I103" i="98"/>
  <c r="I67" i="98"/>
  <c r="I46" i="98"/>
  <c r="I43" i="98"/>
  <c r="I36" i="98"/>
  <c r="I15" i="98"/>
  <c r="I9" i="98"/>
  <c r="H253" i="98"/>
  <c r="H248" i="98"/>
  <c r="H242" i="98"/>
  <c r="H229" i="98"/>
  <c r="H221" i="98"/>
  <c r="H194" i="98"/>
  <c r="H103" i="98"/>
  <c r="H67" i="98"/>
  <c r="H46" i="98"/>
  <c r="H43" i="98"/>
  <c r="H36" i="98"/>
  <c r="H15" i="98"/>
  <c r="H9" i="98"/>
  <c r="J275" i="98"/>
  <c r="J265" i="98"/>
  <c r="J257" i="98"/>
  <c r="I275" i="98"/>
  <c r="I265" i="98"/>
  <c r="I257" i="98"/>
  <c r="H275" i="98"/>
  <c r="H265" i="98"/>
  <c r="H257" i="98"/>
  <c r="J251" i="98"/>
  <c r="H283" i="98"/>
  <c r="H251" i="98"/>
  <c r="J216" i="98"/>
  <c r="J172" i="98"/>
  <c r="J137" i="98"/>
  <c r="J128" i="98"/>
  <c r="J97" i="98"/>
  <c r="J80" i="98"/>
  <c r="J59" i="98"/>
  <c r="I216" i="98"/>
  <c r="I172" i="98"/>
  <c r="I137" i="98"/>
  <c r="I128" i="98"/>
  <c r="I97" i="98"/>
  <c r="I80" i="98"/>
  <c r="I59" i="98"/>
  <c r="H216" i="98"/>
  <c r="H172" i="98"/>
  <c r="H137" i="98"/>
  <c r="H128" i="98"/>
  <c r="H97" i="98"/>
  <c r="H80" i="98"/>
  <c r="H59" i="98"/>
  <c r="J317" i="98"/>
  <c r="J312" i="98"/>
  <c r="J310" i="98"/>
  <c r="J300" i="98"/>
  <c r="J233" i="98"/>
  <c r="J212" i="98"/>
  <c r="J153" i="98"/>
  <c r="J5" i="98"/>
  <c r="I317" i="98"/>
  <c r="I312" i="98"/>
  <c r="I310" i="98"/>
  <c r="I300" i="98"/>
  <c r="I233" i="98"/>
  <c r="I212" i="98"/>
  <c r="I153" i="98"/>
  <c r="I5" i="98"/>
  <c r="H317" i="98"/>
  <c r="H312" i="98"/>
  <c r="H310" i="98"/>
  <c r="H300" i="98"/>
  <c r="H233" i="98"/>
  <c r="H212" i="98"/>
  <c r="H153" i="98"/>
  <c r="H5" i="98"/>
  <c r="J40" i="98"/>
  <c r="I40" i="98"/>
  <c r="H40" i="98"/>
  <c r="I14" i="46" l="1"/>
  <c r="H14" i="46"/>
  <c r="I7" i="46"/>
  <c r="I6" i="46"/>
  <c r="H7" i="46"/>
  <c r="H6" i="46"/>
  <c r="I8" i="46"/>
  <c r="I9" i="46"/>
  <c r="I10" i="46"/>
  <c r="I11" i="46"/>
  <c r="I12" i="46"/>
  <c r="I13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H8" i="46"/>
  <c r="H9" i="46"/>
  <c r="H10" i="46"/>
  <c r="H11" i="46"/>
  <c r="H12" i="46"/>
  <c r="H13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L268" i="98" l="1"/>
  <c r="L252" i="98"/>
  <c r="L323" i="98"/>
  <c r="L212" i="98"/>
  <c r="L156" i="98"/>
  <c r="L108" i="98"/>
  <c r="L21" i="98"/>
  <c r="L52" i="98"/>
  <c r="L308" i="98"/>
  <c r="L301" i="98"/>
  <c r="L229" i="98"/>
  <c r="L213" i="98"/>
  <c r="L157" i="98"/>
  <c r="L12" i="98"/>
  <c r="L13" i="98"/>
  <c r="L28" i="98"/>
  <c r="L29" i="98"/>
  <c r="L37" i="98"/>
  <c r="L44" i="98"/>
  <c r="L53" i="98"/>
  <c r="L60" i="98"/>
  <c r="L61" i="98"/>
  <c r="L68" i="98"/>
  <c r="L69" i="98"/>
  <c r="L76" i="98"/>
  <c r="L77" i="98"/>
  <c r="L84" i="98"/>
  <c r="L85" i="98"/>
  <c r="L92" i="98"/>
  <c r="L93" i="98"/>
  <c r="L101" i="98"/>
  <c r="L116" i="98"/>
  <c r="L117" i="98"/>
  <c r="L125" i="98"/>
  <c r="L133" i="98"/>
  <c r="L140" i="98"/>
  <c r="L148" i="98"/>
  <c r="L149" i="98"/>
  <c r="L165" i="98"/>
  <c r="L180" i="98"/>
  <c r="L181" i="98"/>
  <c r="L188" i="98"/>
  <c r="L196" i="98"/>
  <c r="L197" i="98"/>
  <c r="L205" i="98"/>
  <c r="L220" i="98"/>
  <c r="L221" i="98"/>
  <c r="L244" i="98"/>
  <c r="L245" i="98"/>
  <c r="L253" i="98"/>
  <c r="L261" i="98"/>
  <c r="L269" i="98"/>
  <c r="L277" i="98"/>
  <c r="L284" i="98"/>
  <c r="L293" i="98"/>
  <c r="L309" i="98"/>
  <c r="L316" i="98"/>
  <c r="L183" i="98" l="1"/>
  <c r="L170" i="98"/>
  <c r="L204" i="98"/>
  <c r="L236" i="98"/>
  <c r="L317" i="98"/>
  <c r="L304" i="98"/>
  <c r="L295" i="98"/>
  <c r="L283" i="98"/>
  <c r="L272" i="98"/>
  <c r="L248" i="98"/>
  <c r="L240" i="98"/>
  <c r="L228" i="98"/>
  <c r="L208" i="98"/>
  <c r="L198" i="98"/>
  <c r="L190" i="98"/>
  <c r="L182" i="98"/>
  <c r="L173" i="98"/>
  <c r="L164" i="98"/>
  <c r="L154" i="98"/>
  <c r="L146" i="98"/>
  <c r="L138" i="98"/>
  <c r="L128" i="98"/>
  <c r="L118" i="98"/>
  <c r="L109" i="98"/>
  <c r="L100" i="98"/>
  <c r="L91" i="98"/>
  <c r="L83" i="98"/>
  <c r="L75" i="98"/>
  <c r="L65" i="98"/>
  <c r="L57" i="98"/>
  <c r="L48" i="98"/>
  <c r="L11" i="98"/>
  <c r="L324" i="98"/>
  <c r="L318" i="98"/>
  <c r="L294" i="98"/>
  <c r="L206" i="98"/>
  <c r="L22" i="98"/>
  <c r="L219" i="98"/>
  <c r="L237" i="98"/>
  <c r="L16" i="98"/>
  <c r="L279" i="98"/>
  <c r="L290" i="98"/>
  <c r="L285" i="98"/>
  <c r="L303" i="98"/>
  <c r="L282" i="98"/>
  <c r="L271" i="98"/>
  <c r="L260" i="98"/>
  <c r="L247" i="98"/>
  <c r="L239" i="98"/>
  <c r="L227" i="98"/>
  <c r="L218" i="98"/>
  <c r="L207" i="98"/>
  <c r="L189" i="98"/>
  <c r="L172" i="98"/>
  <c r="L163" i="98"/>
  <c r="L153" i="98"/>
  <c r="L145" i="98"/>
  <c r="L137" i="98"/>
  <c r="L126" i="98"/>
  <c r="L107" i="98"/>
  <c r="L98" i="98"/>
  <c r="L90" i="98"/>
  <c r="L82" i="98"/>
  <c r="L74" i="98"/>
  <c r="L64" i="98"/>
  <c r="L56" i="98"/>
  <c r="L45" i="98"/>
  <c r="L36" i="98"/>
  <c r="L26" i="98"/>
  <c r="L9" i="98"/>
  <c r="L313" i="98"/>
  <c r="L312" i="98"/>
  <c r="L300" i="98"/>
  <c r="L291" i="98"/>
  <c r="L280" i="98"/>
  <c r="L281" i="98"/>
  <c r="L311" i="98"/>
  <c r="L299" i="98"/>
  <c r="L319" i="98"/>
  <c r="L115" i="98"/>
  <c r="L70" i="98"/>
  <c r="L255" i="98"/>
  <c r="L315" i="98"/>
  <c r="L47" i="98"/>
  <c r="L274" i="98"/>
  <c r="L325" i="98"/>
  <c r="L292" i="98"/>
  <c r="L298" i="98"/>
  <c r="L288" i="98"/>
  <c r="L276" i="98"/>
  <c r="L264" i="98"/>
  <c r="L254" i="98"/>
  <c r="L243" i="98"/>
  <c r="L233" i="98"/>
  <c r="L223" i="98"/>
  <c r="L211" i="98"/>
  <c r="L201" i="98"/>
  <c r="L193" i="98"/>
  <c r="L185" i="98"/>
  <c r="L177" i="98"/>
  <c r="L167" i="98"/>
  <c r="L159" i="98"/>
  <c r="L141" i="98"/>
  <c r="L132" i="98"/>
  <c r="L121" i="98"/>
  <c r="L112" i="98"/>
  <c r="L94" i="98"/>
  <c r="L86" i="98"/>
  <c r="L78" i="98"/>
  <c r="L51" i="98"/>
  <c r="L41" i="98"/>
  <c r="L32" i="98"/>
  <c r="L20" i="98"/>
  <c r="L302" i="98"/>
  <c r="L307" i="98"/>
  <c r="L297" i="98"/>
  <c r="L286" i="98"/>
  <c r="L275" i="98"/>
  <c r="L263" i="98"/>
  <c r="L242" i="98"/>
  <c r="L232" i="98"/>
  <c r="L222" i="98"/>
  <c r="L210" i="98"/>
  <c r="L200" i="98"/>
  <c r="L192" i="98"/>
  <c r="L184" i="98"/>
  <c r="L176" i="98"/>
  <c r="L166" i="98"/>
  <c r="L158" i="98"/>
  <c r="L131" i="98"/>
  <c r="L120" i="98"/>
  <c r="L111" i="98"/>
  <c r="L102" i="98"/>
  <c r="L59" i="98"/>
  <c r="L50" i="98"/>
  <c r="L40" i="98"/>
  <c r="L31" i="98"/>
  <c r="L5" i="98"/>
  <c r="L27" i="98"/>
  <c r="L127" i="98"/>
  <c r="L14" i="98"/>
  <c r="L134" i="98"/>
  <c r="L278" i="98"/>
  <c r="L305" i="98"/>
  <c r="L296" i="98"/>
  <c r="L273" i="98"/>
  <c r="L262" i="98"/>
  <c r="L251" i="98"/>
  <c r="L241" i="98"/>
  <c r="L230" i="98"/>
  <c r="L209" i="98"/>
  <c r="L199" i="98"/>
  <c r="L191" i="98"/>
  <c r="L175" i="98"/>
  <c r="L155" i="98"/>
  <c r="L147" i="98"/>
  <c r="L139" i="98"/>
  <c r="L130" i="98"/>
  <c r="L119" i="98"/>
  <c r="L110" i="98"/>
  <c r="L66" i="98"/>
  <c r="L58" i="98"/>
  <c r="L49" i="98"/>
  <c r="L39" i="98"/>
  <c r="L326" i="98"/>
  <c r="L287" i="98"/>
  <c r="L129" i="98"/>
  <c r="L267" i="98"/>
  <c r="L18" i="98"/>
  <c r="L174" i="98"/>
  <c r="L215" i="98"/>
  <c r="L306" i="98"/>
  <c r="L258" i="98"/>
  <c r="L246" i="98"/>
  <c r="L238" i="98"/>
  <c r="L226" i="98"/>
  <c r="L217" i="98"/>
  <c r="L171" i="98"/>
  <c r="L162" i="98"/>
  <c r="L152" i="98"/>
  <c r="L144" i="98"/>
  <c r="L136" i="98"/>
  <c r="L106" i="98"/>
  <c r="L97" i="98"/>
  <c r="L89" i="98"/>
  <c r="L81" i="98"/>
  <c r="L73" i="98"/>
  <c r="L63" i="98"/>
  <c r="L55" i="98"/>
  <c r="L35" i="98"/>
  <c r="L25" i="98"/>
  <c r="L8" i="98"/>
  <c r="L322" i="98"/>
  <c r="L67" i="98"/>
  <c r="L30" i="98"/>
  <c r="L231" i="98"/>
  <c r="L99" i="98"/>
  <c r="L15" i="98"/>
  <c r="L259" i="98"/>
  <c r="L266" i="98"/>
  <c r="L257" i="98"/>
  <c r="L235" i="98"/>
  <c r="L225" i="98"/>
  <c r="L216" i="98"/>
  <c r="L203" i="98"/>
  <c r="L195" i="98"/>
  <c r="L187" i="98"/>
  <c r="L179" i="98"/>
  <c r="L169" i="98"/>
  <c r="L161" i="98"/>
  <c r="L151" i="98"/>
  <c r="L143" i="98"/>
  <c r="L135" i="98"/>
  <c r="L123" i="98"/>
  <c r="L114" i="98"/>
  <c r="L105" i="98"/>
  <c r="L96" i="98"/>
  <c r="L88" i="98"/>
  <c r="L80" i="98"/>
  <c r="L72" i="98"/>
  <c r="L62" i="98"/>
  <c r="L54" i="98"/>
  <c r="L43" i="98"/>
  <c r="L34" i="98"/>
  <c r="L24" i="98"/>
  <c r="L7" i="98"/>
  <c r="L321" i="98"/>
  <c r="L38" i="98"/>
  <c r="L249" i="98"/>
  <c r="L10" i="98"/>
  <c r="L314" i="98"/>
  <c r="L17" i="98"/>
  <c r="L6" i="98"/>
  <c r="L289" i="98"/>
  <c r="L265" i="98"/>
  <c r="L256" i="98"/>
  <c r="L234" i="98"/>
  <c r="L224" i="98"/>
  <c r="L214" i="98"/>
  <c r="L202" i="98"/>
  <c r="L194" i="98"/>
  <c r="L186" i="98"/>
  <c r="L178" i="98"/>
  <c r="L168" i="98"/>
  <c r="L160" i="98"/>
  <c r="L150" i="98"/>
  <c r="L142" i="98"/>
  <c r="L122" i="98"/>
  <c r="L113" i="98"/>
  <c r="L104" i="98"/>
  <c r="L95" i="98"/>
  <c r="L87" i="98"/>
  <c r="L79" i="98"/>
  <c r="L71" i="98"/>
  <c r="L42" i="98"/>
  <c r="L33" i="98"/>
  <c r="L23" i="98"/>
  <c r="L320" i="98"/>
  <c r="L310" i="98"/>
  <c r="L46" i="98"/>
  <c r="L250" i="98"/>
  <c r="L19" i="98"/>
  <c r="L270" i="98"/>
  <c r="L327" i="98" l="1"/>
  <c r="L328" i="98" s="1"/>
  <c r="H327" i="98"/>
  <c r="F31" i="46" l="1"/>
  <c r="E31" i="46"/>
  <c r="D31" i="46"/>
  <c r="I5" i="46"/>
  <c r="I4" i="46"/>
  <c r="H5" i="46"/>
  <c r="H4" i="46"/>
  <c r="H31" i="46" s="1"/>
  <c r="I31" i="46" l="1"/>
  <c r="K327" i="98" l="1"/>
  <c r="F327" i="98"/>
  <c r="E327" i="98"/>
  <c r="D327" i="98"/>
  <c r="C327" i="98"/>
  <c r="I327" i="98"/>
  <c r="J327" i="98" l="1"/>
  <c r="E6" i="64" l="1"/>
  <c r="F6" i="64"/>
  <c r="E7" i="64"/>
  <c r="F7" i="64"/>
  <c r="E8" i="64"/>
  <c r="F8" i="64"/>
  <c r="E5" i="64"/>
  <c r="F5" i="64"/>
  <c r="F4" i="64"/>
  <c r="E4" i="64"/>
  <c r="E5" i="61"/>
  <c r="E4" i="61"/>
  <c r="D5" i="61"/>
  <c r="D4" i="61"/>
  <c r="E9" i="64" l="1"/>
  <c r="D9" i="64"/>
  <c r="H9" i="64" l="1"/>
  <c r="J9" i="64"/>
  <c r="I6" i="61"/>
  <c r="F9" i="64" l="1"/>
  <c r="K9" i="64"/>
  <c r="I9" i="64"/>
  <c r="E6" i="61" l="1"/>
  <c r="D6" i="61"/>
  <c r="C6" i="61"/>
  <c r="G6" i="61" l="1"/>
  <c r="H6" i="61"/>
  <c r="J6" i="61"/>
  <c r="C5" i="56" l="1"/>
  <c r="H5" i="56" s="1"/>
  <c r="C4" i="56"/>
  <c r="H4" i="56" s="1"/>
  <c r="D4" i="56" l="1"/>
  <c r="D5" i="56"/>
  <c r="E4" i="56"/>
  <c r="E5" i="56"/>
  <c r="G5" i="56"/>
  <c r="G4" i="56"/>
  <c r="C6" i="56"/>
  <c r="H6" i="56"/>
  <c r="D6" i="56" l="1"/>
  <c r="G6" i="56"/>
  <c r="E6" i="56"/>
  <c r="I68" i="54"/>
  <c r="H68" i="54"/>
  <c r="D68" i="54"/>
  <c r="F66" i="54"/>
  <c r="E66" i="54"/>
  <c r="F65" i="54"/>
  <c r="E65" i="54"/>
  <c r="F64" i="54"/>
  <c r="E64" i="54"/>
  <c r="F63" i="54"/>
  <c r="E63" i="54"/>
  <c r="F62" i="54"/>
  <c r="E62" i="54"/>
  <c r="F61" i="54"/>
  <c r="E61" i="54"/>
  <c r="F60" i="54"/>
  <c r="E60" i="54"/>
  <c r="F59" i="54"/>
  <c r="E59" i="54"/>
  <c r="F58" i="54"/>
  <c r="E58" i="54"/>
  <c r="F57" i="54"/>
  <c r="E57" i="54"/>
  <c r="F56" i="54"/>
  <c r="E56" i="54"/>
  <c r="F55" i="54"/>
  <c r="E55" i="54"/>
  <c r="F54" i="54"/>
  <c r="E54" i="54"/>
  <c r="F53" i="54"/>
  <c r="E53" i="54"/>
  <c r="F52" i="54"/>
  <c r="E52" i="54"/>
  <c r="F51" i="54"/>
  <c r="E51" i="54"/>
  <c r="F50" i="54"/>
  <c r="E50" i="54"/>
  <c r="F49" i="54"/>
  <c r="E49" i="54"/>
  <c r="F48" i="54"/>
  <c r="E48" i="54"/>
  <c r="F47" i="54"/>
  <c r="E47" i="54"/>
  <c r="F46" i="54"/>
  <c r="E46" i="54"/>
  <c r="F45" i="54"/>
  <c r="E45" i="54"/>
  <c r="F44" i="54"/>
  <c r="E44" i="54"/>
  <c r="F43" i="54"/>
  <c r="E43" i="54"/>
  <c r="F42" i="54"/>
  <c r="E42" i="54"/>
  <c r="F41" i="54"/>
  <c r="E41" i="54"/>
  <c r="F40" i="54"/>
  <c r="E40" i="54"/>
  <c r="F39" i="54"/>
  <c r="E39" i="54"/>
  <c r="F38" i="54"/>
  <c r="E38" i="54"/>
  <c r="F37" i="54"/>
  <c r="E37" i="54"/>
  <c r="F36" i="54"/>
  <c r="E36" i="54"/>
  <c r="F35" i="54"/>
  <c r="E35" i="54"/>
  <c r="F34" i="54"/>
  <c r="E34" i="54"/>
  <c r="F33" i="54"/>
  <c r="E33" i="54"/>
  <c r="F32" i="54"/>
  <c r="E32" i="54"/>
  <c r="F31" i="54"/>
  <c r="E31" i="54"/>
  <c r="F30" i="54"/>
  <c r="E30" i="54"/>
  <c r="F29" i="54"/>
  <c r="E29" i="54"/>
  <c r="F28" i="54"/>
  <c r="E28" i="54"/>
  <c r="F27" i="54"/>
  <c r="E27" i="54"/>
  <c r="F26" i="54"/>
  <c r="E26" i="54"/>
  <c r="F25" i="54"/>
  <c r="E25" i="54"/>
  <c r="F24" i="54"/>
  <c r="E24" i="54"/>
  <c r="F23" i="54"/>
  <c r="E23" i="54"/>
  <c r="F22" i="54"/>
  <c r="E22" i="54"/>
  <c r="F21" i="54"/>
  <c r="E21" i="54"/>
  <c r="F20" i="54"/>
  <c r="E20" i="54"/>
  <c r="F19" i="54"/>
  <c r="E19" i="54"/>
  <c r="F18" i="54"/>
  <c r="E18" i="54"/>
  <c r="F17" i="54"/>
  <c r="E17" i="54"/>
  <c r="F16" i="54"/>
  <c r="E16" i="54"/>
  <c r="F15" i="54"/>
  <c r="E15" i="54"/>
  <c r="F14" i="54"/>
  <c r="E14" i="54"/>
  <c r="F13" i="54"/>
  <c r="E13" i="54"/>
  <c r="F12" i="54"/>
  <c r="E12" i="54"/>
  <c r="F11" i="54"/>
  <c r="E11" i="54"/>
  <c r="F10" i="54"/>
  <c r="E10" i="54"/>
  <c r="F9" i="54"/>
  <c r="E9" i="54"/>
  <c r="F8" i="54"/>
  <c r="E8" i="54"/>
  <c r="F7" i="54"/>
  <c r="E7" i="54"/>
  <c r="F6" i="54"/>
  <c r="E6" i="54"/>
  <c r="F5" i="54"/>
  <c r="E5" i="54"/>
  <c r="F4" i="54"/>
  <c r="E4" i="54"/>
  <c r="F3" i="54"/>
  <c r="E3" i="54"/>
  <c r="E68" i="54" s="1"/>
  <c r="F68" i="54" l="1"/>
  <c r="F8" i="48"/>
  <c r="F7" i="48"/>
  <c r="E7" i="48"/>
  <c r="D7" i="48"/>
  <c r="F6" i="48"/>
  <c r="E6" i="48"/>
  <c r="D6" i="48"/>
  <c r="F5" i="48"/>
  <c r="E5" i="48"/>
  <c r="D5" i="48"/>
  <c r="F10" i="48"/>
  <c r="E10" i="48"/>
  <c r="D10" i="48"/>
  <c r="E165" i="48" l="1"/>
  <c r="D165" i="48"/>
  <c r="F251" i="48"/>
  <c r="E251" i="48"/>
  <c r="D251" i="48"/>
  <c r="F249" i="48"/>
  <c r="E249" i="48"/>
  <c r="D249" i="48"/>
  <c r="F248" i="48"/>
  <c r="E248" i="48"/>
  <c r="D248" i="48"/>
  <c r="F247" i="48"/>
  <c r="E247" i="48"/>
  <c r="D247" i="48"/>
  <c r="F246" i="48"/>
  <c r="E246" i="48"/>
  <c r="D246" i="48"/>
  <c r="F148" i="48"/>
  <c r="E148" i="48"/>
  <c r="D148" i="48"/>
  <c r="F83" i="48"/>
  <c r="E83" i="48"/>
  <c r="D83" i="48"/>
  <c r="F60" i="48"/>
  <c r="E60" i="48"/>
  <c r="D60" i="48"/>
  <c r="F27" i="48"/>
  <c r="E27" i="48"/>
  <c r="D27" i="48"/>
  <c r="F14" i="48"/>
  <c r="E14" i="48"/>
  <c r="D14" i="48"/>
  <c r="F11" i="48"/>
  <c r="E11" i="48"/>
  <c r="D11" i="48"/>
  <c r="F226" i="48"/>
  <c r="E226" i="48"/>
  <c r="D226" i="48"/>
  <c r="F218" i="48"/>
  <c r="E218" i="48"/>
  <c r="D218" i="48"/>
  <c r="F186" i="48"/>
  <c r="E186" i="48"/>
  <c r="D186" i="48"/>
  <c r="F222" i="48"/>
  <c r="E222" i="48"/>
  <c r="D222" i="48"/>
  <c r="F213" i="48"/>
  <c r="E213" i="48"/>
  <c r="D213" i="48"/>
  <c r="F203" i="48"/>
  <c r="E203" i="48"/>
  <c r="D203" i="48"/>
  <c r="F196" i="48"/>
  <c r="E196" i="48"/>
  <c r="D196" i="48"/>
  <c r="F189" i="48"/>
  <c r="E189" i="48"/>
  <c r="D189" i="48"/>
  <c r="F187" i="48"/>
  <c r="E187" i="48"/>
  <c r="D187" i="48"/>
  <c r="F174" i="48"/>
  <c r="E174" i="48"/>
  <c r="D174" i="48"/>
  <c r="F170" i="48"/>
  <c r="E170" i="48"/>
  <c r="D170" i="48"/>
  <c r="F156" i="48"/>
  <c r="E156" i="48"/>
  <c r="D156" i="48"/>
  <c r="F93" i="48"/>
  <c r="E93" i="48"/>
  <c r="D93" i="48"/>
  <c r="F33" i="48"/>
  <c r="E33" i="48"/>
  <c r="D33" i="48"/>
  <c r="F13" i="48"/>
  <c r="E13" i="48"/>
  <c r="D13" i="48"/>
  <c r="F261" i="48"/>
  <c r="F260" i="48"/>
  <c r="F243" i="48"/>
  <c r="F240" i="48"/>
  <c r="F238" i="48"/>
  <c r="F225" i="48"/>
  <c r="F215" i="48"/>
  <c r="F208" i="48"/>
  <c r="F282" i="48"/>
  <c r="E282" i="48"/>
  <c r="D282" i="48"/>
  <c r="F262" i="48"/>
  <c r="E262" i="48"/>
  <c r="D262" i="48"/>
  <c r="F259" i="48"/>
  <c r="E259" i="48"/>
  <c r="D259" i="48"/>
  <c r="F258" i="48"/>
  <c r="E258" i="48"/>
  <c r="D258" i="48"/>
  <c r="F257" i="48"/>
  <c r="E257" i="48"/>
  <c r="D257" i="48"/>
  <c r="F256" i="48"/>
  <c r="E256" i="48"/>
  <c r="D256" i="48"/>
  <c r="F255" i="48"/>
  <c r="E255" i="48"/>
  <c r="D255" i="48"/>
  <c r="F254" i="48"/>
  <c r="E254" i="48"/>
  <c r="D254" i="48"/>
  <c r="F253" i="48"/>
  <c r="E253" i="48"/>
  <c r="D253" i="48"/>
  <c r="F252" i="48"/>
  <c r="E252" i="48"/>
  <c r="D252" i="48"/>
  <c r="F250" i="48"/>
  <c r="E250" i="48"/>
  <c r="D250" i="48"/>
  <c r="F245" i="48"/>
  <c r="E245" i="48"/>
  <c r="D245" i="48"/>
  <c r="F244" i="48"/>
  <c r="E244" i="48"/>
  <c r="D244" i="48"/>
  <c r="F242" i="48"/>
  <c r="E242" i="48"/>
  <c r="D242" i="48"/>
  <c r="F241" i="48"/>
  <c r="E241" i="48"/>
  <c r="D241" i="48"/>
  <c r="F239" i="48"/>
  <c r="E239" i="48"/>
  <c r="D239" i="48"/>
  <c r="F237" i="48"/>
  <c r="E237" i="48"/>
  <c r="D237" i="48"/>
  <c r="F236" i="48"/>
  <c r="E236" i="48"/>
  <c r="D236" i="48"/>
  <c r="F235" i="48"/>
  <c r="E235" i="48"/>
  <c r="D235" i="48"/>
  <c r="F234" i="48"/>
  <c r="E234" i="48"/>
  <c r="D234" i="48"/>
  <c r="F233" i="48"/>
  <c r="E233" i="48"/>
  <c r="D233" i="48"/>
  <c r="F232" i="48"/>
  <c r="E232" i="48"/>
  <c r="D232" i="48"/>
  <c r="F231" i="48"/>
  <c r="E231" i="48"/>
  <c r="D231" i="48"/>
  <c r="F230" i="48"/>
  <c r="E230" i="48"/>
  <c r="D230" i="48"/>
  <c r="F229" i="48"/>
  <c r="E229" i="48"/>
  <c r="D229" i="48"/>
  <c r="F228" i="48"/>
  <c r="E228" i="48"/>
  <c r="D228" i="48"/>
  <c r="F227" i="48"/>
  <c r="E227" i="48"/>
  <c r="D227" i="48"/>
  <c r="F224" i="48"/>
  <c r="E224" i="48"/>
  <c r="D224" i="48"/>
  <c r="F223" i="48"/>
  <c r="E223" i="48"/>
  <c r="D223" i="48"/>
  <c r="F221" i="48"/>
  <c r="E221" i="48"/>
  <c r="D221" i="48"/>
  <c r="F220" i="48"/>
  <c r="E220" i="48"/>
  <c r="D220" i="48"/>
  <c r="F219" i="48"/>
  <c r="E219" i="48"/>
  <c r="D219" i="48"/>
  <c r="F217" i="48"/>
  <c r="E217" i="48"/>
  <c r="D217" i="48"/>
  <c r="F216" i="48"/>
  <c r="E216" i="48"/>
  <c r="D216" i="48"/>
  <c r="F214" i="48"/>
  <c r="E214" i="48"/>
  <c r="D214" i="48"/>
  <c r="F212" i="48"/>
  <c r="E212" i="48"/>
  <c r="D212" i="48"/>
  <c r="F211" i="48"/>
  <c r="E211" i="48"/>
  <c r="D211" i="48"/>
  <c r="F210" i="48"/>
  <c r="E210" i="48"/>
  <c r="D210" i="48"/>
  <c r="F209" i="48"/>
  <c r="E209" i="48"/>
  <c r="D209" i="48"/>
  <c r="F207" i="48"/>
  <c r="E207" i="48"/>
  <c r="D207" i="48"/>
  <c r="F206" i="48"/>
  <c r="E206" i="48"/>
  <c r="D206" i="48"/>
  <c r="F205" i="48"/>
  <c r="E205" i="48"/>
  <c r="D205" i="48"/>
  <c r="F204" i="48"/>
  <c r="E204" i="48"/>
  <c r="D204" i="48"/>
  <c r="F202" i="48"/>
  <c r="E202" i="48"/>
  <c r="D202" i="48"/>
  <c r="F201" i="48"/>
  <c r="E201" i="48"/>
  <c r="D201" i="48"/>
  <c r="F200" i="48"/>
  <c r="E200" i="48"/>
  <c r="D200" i="48"/>
  <c r="F199" i="48"/>
  <c r="E199" i="48"/>
  <c r="D199" i="48"/>
  <c r="F198" i="48"/>
  <c r="E198" i="48"/>
  <c r="D198" i="48"/>
  <c r="F197" i="48"/>
  <c r="E197" i="48"/>
  <c r="D197" i="48"/>
  <c r="F195" i="48"/>
  <c r="E195" i="48"/>
  <c r="D195" i="48"/>
  <c r="F194" i="48"/>
  <c r="E194" i="48"/>
  <c r="D194" i="48"/>
  <c r="F193" i="48"/>
  <c r="E193" i="48"/>
  <c r="D193" i="48"/>
  <c r="F192" i="48"/>
  <c r="E192" i="48"/>
  <c r="D192" i="48"/>
  <c r="F191" i="48"/>
  <c r="E191" i="48"/>
  <c r="D191" i="48"/>
  <c r="F190" i="48"/>
  <c r="E190" i="48"/>
  <c r="D190" i="48"/>
  <c r="F188" i="48"/>
  <c r="E188" i="48"/>
  <c r="D188" i="48"/>
  <c r="F185" i="48"/>
  <c r="E185" i="48"/>
  <c r="D185" i="48"/>
  <c r="F184" i="48"/>
  <c r="E184" i="48"/>
  <c r="D184" i="48"/>
  <c r="F183" i="48"/>
  <c r="E183" i="48"/>
  <c r="D183" i="48"/>
  <c r="F182" i="48"/>
  <c r="E182" i="48"/>
  <c r="D182" i="48"/>
  <c r="F181" i="48"/>
  <c r="E181" i="48"/>
  <c r="D181" i="48"/>
  <c r="F180" i="48"/>
  <c r="E180" i="48"/>
  <c r="D180" i="48"/>
  <c r="F179" i="48"/>
  <c r="E179" i="48"/>
  <c r="D179" i="48"/>
  <c r="F178" i="48"/>
  <c r="E178" i="48"/>
  <c r="D178" i="48"/>
  <c r="F177" i="48"/>
  <c r="E177" i="48"/>
  <c r="D177" i="48"/>
  <c r="F176" i="48"/>
  <c r="E176" i="48"/>
  <c r="D176" i="48"/>
  <c r="F175" i="48"/>
  <c r="E175" i="48"/>
  <c r="D175" i="48"/>
  <c r="F173" i="48"/>
  <c r="E173" i="48"/>
  <c r="D173" i="48"/>
  <c r="F172" i="48"/>
  <c r="E172" i="48"/>
  <c r="D172" i="48"/>
  <c r="F171" i="48"/>
  <c r="E171" i="48"/>
  <c r="D171" i="48"/>
  <c r="F169" i="48"/>
  <c r="E169" i="48"/>
  <c r="D169" i="48"/>
  <c r="F168" i="48"/>
  <c r="E168" i="48"/>
  <c r="D168" i="48"/>
  <c r="F167" i="48"/>
  <c r="E167" i="48"/>
  <c r="D167" i="48"/>
  <c r="F166" i="48"/>
  <c r="E166" i="48"/>
  <c r="D166" i="48"/>
  <c r="F164" i="48"/>
  <c r="E164" i="48"/>
  <c r="D164" i="48"/>
  <c r="F163" i="48"/>
  <c r="E163" i="48"/>
  <c r="D163" i="48"/>
  <c r="F162" i="48"/>
  <c r="E162" i="48"/>
  <c r="D162" i="48"/>
  <c r="F161" i="48"/>
  <c r="E161" i="48"/>
  <c r="D161" i="48"/>
  <c r="F160" i="48"/>
  <c r="E160" i="48"/>
  <c r="D160" i="48"/>
  <c r="F159" i="48"/>
  <c r="E159" i="48"/>
  <c r="D159" i="48"/>
  <c r="F158" i="48"/>
  <c r="E158" i="48"/>
  <c r="D158" i="48"/>
  <c r="F157" i="48"/>
  <c r="E157" i="48"/>
  <c r="D157" i="48"/>
  <c r="F155" i="48"/>
  <c r="E155" i="48"/>
  <c r="D155" i="48"/>
  <c r="F154" i="48"/>
  <c r="E154" i="48"/>
  <c r="D154" i="48"/>
  <c r="F153" i="48"/>
  <c r="E153" i="48"/>
  <c r="D153" i="48"/>
  <c r="F152" i="48"/>
  <c r="E152" i="48"/>
  <c r="D152" i="48"/>
  <c r="F151" i="48"/>
  <c r="E151" i="48"/>
  <c r="D151" i="48"/>
  <c r="F150" i="48"/>
  <c r="E150" i="48"/>
  <c r="D150" i="48"/>
  <c r="F149" i="48"/>
  <c r="E149" i="48"/>
  <c r="D149" i="48"/>
  <c r="F147" i="48"/>
  <c r="E147" i="48"/>
  <c r="D147" i="48"/>
  <c r="F146" i="48"/>
  <c r="E146" i="48"/>
  <c r="D146" i="48"/>
  <c r="F145" i="48"/>
  <c r="E145" i="48"/>
  <c r="D145" i="48"/>
  <c r="F144" i="48"/>
  <c r="E144" i="48"/>
  <c r="D144" i="48"/>
  <c r="F143" i="48"/>
  <c r="E143" i="48"/>
  <c r="D143" i="48"/>
  <c r="F142" i="48"/>
  <c r="E142" i="48"/>
  <c r="D142" i="48"/>
  <c r="F141" i="48"/>
  <c r="E141" i="48"/>
  <c r="D141" i="48"/>
  <c r="F140" i="48"/>
  <c r="E140" i="48"/>
  <c r="D140" i="48"/>
  <c r="F139" i="48"/>
  <c r="E139" i="48"/>
  <c r="D139" i="48"/>
  <c r="F138" i="48"/>
  <c r="E138" i="48"/>
  <c r="D138" i="48"/>
  <c r="F137" i="48"/>
  <c r="E137" i="48"/>
  <c r="D137" i="48"/>
  <c r="F136" i="48"/>
  <c r="E136" i="48"/>
  <c r="D136" i="48"/>
  <c r="F135" i="48"/>
  <c r="E135" i="48"/>
  <c r="D135" i="48"/>
  <c r="F134" i="48"/>
  <c r="E134" i="48"/>
  <c r="D134" i="48"/>
  <c r="F133" i="48"/>
  <c r="E133" i="48"/>
  <c r="D133" i="48"/>
  <c r="F132" i="48"/>
  <c r="E132" i="48"/>
  <c r="D132" i="48"/>
  <c r="F131" i="48"/>
  <c r="E131" i="48"/>
  <c r="D131" i="48"/>
  <c r="F130" i="48"/>
  <c r="E130" i="48"/>
  <c r="D130" i="48"/>
  <c r="F129" i="48"/>
  <c r="E129" i="48"/>
  <c r="D129" i="48"/>
  <c r="F128" i="48"/>
  <c r="E128" i="48"/>
  <c r="D128" i="48"/>
  <c r="F127" i="48"/>
  <c r="E127" i="48"/>
  <c r="D127" i="48"/>
  <c r="F126" i="48"/>
  <c r="E126" i="48"/>
  <c r="D126" i="48"/>
  <c r="F125" i="48"/>
  <c r="E125" i="48"/>
  <c r="D125" i="48"/>
  <c r="F124" i="48"/>
  <c r="E124" i="48"/>
  <c r="D124" i="48"/>
  <c r="F123" i="48"/>
  <c r="E123" i="48"/>
  <c r="D123" i="48"/>
  <c r="F122" i="48"/>
  <c r="E122" i="48"/>
  <c r="D122" i="48"/>
  <c r="F121" i="48"/>
  <c r="E121" i="48"/>
  <c r="D121" i="48"/>
  <c r="F120" i="48"/>
  <c r="E120" i="48"/>
  <c r="D120" i="48"/>
  <c r="F119" i="48"/>
  <c r="E119" i="48"/>
  <c r="D119" i="48"/>
  <c r="F118" i="48"/>
  <c r="E118" i="48"/>
  <c r="D118" i="48"/>
  <c r="F117" i="48"/>
  <c r="E117" i="48"/>
  <c r="D117" i="48"/>
  <c r="F116" i="48"/>
  <c r="E116" i="48"/>
  <c r="D116" i="48"/>
  <c r="F115" i="48"/>
  <c r="E115" i="48"/>
  <c r="D115" i="48"/>
  <c r="F114" i="48"/>
  <c r="E114" i="48"/>
  <c r="D114" i="48"/>
  <c r="F113" i="48"/>
  <c r="E113" i="48"/>
  <c r="D113" i="48"/>
  <c r="F112" i="48"/>
  <c r="E112" i="48"/>
  <c r="D112" i="48"/>
  <c r="F111" i="48"/>
  <c r="E111" i="48"/>
  <c r="D111" i="48"/>
  <c r="F110" i="48"/>
  <c r="E110" i="48"/>
  <c r="D110" i="48"/>
  <c r="F109" i="48"/>
  <c r="E109" i="48"/>
  <c r="D109" i="48"/>
  <c r="F108" i="48"/>
  <c r="E108" i="48"/>
  <c r="D108" i="48"/>
  <c r="F107" i="48"/>
  <c r="E107" i="48"/>
  <c r="D107" i="48"/>
  <c r="F106" i="48"/>
  <c r="E106" i="48"/>
  <c r="D106" i="48"/>
  <c r="F105" i="48"/>
  <c r="E105" i="48"/>
  <c r="D105" i="48"/>
  <c r="F104" i="48"/>
  <c r="E104" i="48"/>
  <c r="D104" i="48"/>
  <c r="F103" i="48"/>
  <c r="E103" i="48"/>
  <c r="D103" i="48"/>
  <c r="F102" i="48"/>
  <c r="E102" i="48"/>
  <c r="D102" i="48"/>
  <c r="F101" i="48"/>
  <c r="E101" i="48"/>
  <c r="D101" i="48"/>
  <c r="F100" i="48"/>
  <c r="E100" i="48"/>
  <c r="D100" i="48"/>
  <c r="F99" i="48"/>
  <c r="E99" i="48"/>
  <c r="D99" i="48"/>
  <c r="F98" i="48"/>
  <c r="E98" i="48"/>
  <c r="D98" i="48"/>
  <c r="F97" i="48"/>
  <c r="E97" i="48"/>
  <c r="D97" i="48"/>
  <c r="F96" i="48"/>
  <c r="E96" i="48"/>
  <c r="D96" i="48"/>
  <c r="F95" i="48"/>
  <c r="E95" i="48"/>
  <c r="D95" i="48"/>
  <c r="F94" i="48"/>
  <c r="E94" i="48"/>
  <c r="D94" i="48"/>
  <c r="F92" i="48"/>
  <c r="E92" i="48"/>
  <c r="D92" i="48"/>
  <c r="F91" i="48"/>
  <c r="E91" i="48"/>
  <c r="D91" i="48"/>
  <c r="F90" i="48"/>
  <c r="E90" i="48"/>
  <c r="D90" i="48"/>
  <c r="F89" i="48"/>
  <c r="E89" i="48"/>
  <c r="D89" i="48"/>
  <c r="F88" i="48"/>
  <c r="E88" i="48"/>
  <c r="D88" i="48"/>
  <c r="F87" i="48"/>
  <c r="E87" i="48"/>
  <c r="D87" i="48"/>
  <c r="F86" i="48"/>
  <c r="E86" i="48"/>
  <c r="D86" i="48"/>
  <c r="F85" i="48"/>
  <c r="E85" i="48"/>
  <c r="D85" i="48"/>
  <c r="F84" i="48"/>
  <c r="E84" i="48"/>
  <c r="D84" i="48"/>
  <c r="F82" i="48"/>
  <c r="E82" i="48"/>
  <c r="D82" i="48"/>
  <c r="F81" i="48"/>
  <c r="E81" i="48"/>
  <c r="D81" i="48"/>
  <c r="F80" i="48"/>
  <c r="E80" i="48"/>
  <c r="D80" i="48"/>
  <c r="F79" i="48"/>
  <c r="E79" i="48"/>
  <c r="D79" i="48"/>
  <c r="F78" i="48"/>
  <c r="E78" i="48"/>
  <c r="D78" i="48"/>
  <c r="F77" i="48"/>
  <c r="E77" i="48"/>
  <c r="D77" i="48"/>
  <c r="F76" i="48"/>
  <c r="E76" i="48"/>
  <c r="D76" i="48"/>
  <c r="F75" i="48"/>
  <c r="E75" i="48"/>
  <c r="D75" i="48"/>
  <c r="F74" i="48"/>
  <c r="E74" i="48"/>
  <c r="D74" i="48"/>
  <c r="F73" i="48"/>
  <c r="E73" i="48"/>
  <c r="D73" i="48"/>
  <c r="F72" i="48"/>
  <c r="E72" i="48"/>
  <c r="D72" i="48"/>
  <c r="F71" i="48"/>
  <c r="E71" i="48"/>
  <c r="D71" i="48"/>
  <c r="F70" i="48"/>
  <c r="E70" i="48"/>
  <c r="D70" i="48"/>
  <c r="F69" i="48"/>
  <c r="E69" i="48"/>
  <c r="D69" i="48"/>
  <c r="F68" i="48"/>
  <c r="E68" i="48"/>
  <c r="D68" i="48"/>
  <c r="F67" i="48"/>
  <c r="E67" i="48"/>
  <c r="D67" i="48"/>
  <c r="F66" i="48"/>
  <c r="E66" i="48"/>
  <c r="D66" i="48"/>
  <c r="F65" i="48"/>
  <c r="E65" i="48"/>
  <c r="D65" i="48"/>
  <c r="F64" i="48"/>
  <c r="E64" i="48"/>
  <c r="D64" i="48"/>
  <c r="F63" i="48"/>
  <c r="E63" i="48"/>
  <c r="D63" i="48"/>
  <c r="F62" i="48"/>
  <c r="E62" i="48"/>
  <c r="D62" i="48"/>
  <c r="F61" i="48"/>
  <c r="E61" i="48"/>
  <c r="D61" i="48"/>
  <c r="F59" i="48"/>
  <c r="E59" i="48"/>
  <c r="D59" i="48"/>
  <c r="F58" i="48"/>
  <c r="E58" i="48"/>
  <c r="D58" i="48"/>
  <c r="F57" i="48"/>
  <c r="E57" i="48"/>
  <c r="D57" i="48"/>
  <c r="F56" i="48"/>
  <c r="E56" i="48"/>
  <c r="D56" i="48"/>
  <c r="F55" i="48"/>
  <c r="E55" i="48"/>
  <c r="D55" i="48"/>
  <c r="F54" i="48"/>
  <c r="E54" i="48"/>
  <c r="D54" i="48"/>
  <c r="F53" i="48"/>
  <c r="E53" i="48"/>
  <c r="D53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F46" i="48"/>
  <c r="E46" i="48"/>
  <c r="D46" i="48"/>
  <c r="F45" i="48"/>
  <c r="E45" i="48"/>
  <c r="D45" i="48"/>
  <c r="F44" i="48"/>
  <c r="E44" i="48"/>
  <c r="D44" i="48"/>
  <c r="F43" i="48"/>
  <c r="E43" i="48"/>
  <c r="D43" i="48"/>
  <c r="F42" i="48"/>
  <c r="E42" i="48"/>
  <c r="D42" i="48"/>
  <c r="F41" i="48"/>
  <c r="E41" i="48"/>
  <c r="D41" i="48"/>
  <c r="F40" i="48"/>
  <c r="E40" i="48"/>
  <c r="D40" i="48"/>
  <c r="F39" i="48"/>
  <c r="E39" i="48"/>
  <c r="D39" i="48"/>
  <c r="F38" i="48"/>
  <c r="E38" i="48"/>
  <c r="D38" i="48"/>
  <c r="F37" i="48"/>
  <c r="E37" i="48"/>
  <c r="D37" i="48"/>
  <c r="F36" i="48"/>
  <c r="E36" i="48"/>
  <c r="D36" i="48"/>
  <c r="F35" i="48"/>
  <c r="E35" i="48"/>
  <c r="D35" i="48"/>
  <c r="F34" i="48"/>
  <c r="E34" i="48"/>
  <c r="D34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F28" i="48"/>
  <c r="E28" i="48"/>
  <c r="D28" i="48"/>
  <c r="F26" i="48"/>
  <c r="E26" i="48"/>
  <c r="D26" i="48"/>
  <c r="F25" i="48"/>
  <c r="E25" i="48"/>
  <c r="D25" i="48"/>
  <c r="F24" i="48"/>
  <c r="E24" i="48"/>
  <c r="D24" i="48"/>
  <c r="F23" i="48"/>
  <c r="E23" i="48"/>
  <c r="D23" i="48"/>
  <c r="F22" i="48"/>
  <c r="E22" i="48"/>
  <c r="D22" i="48"/>
  <c r="F21" i="48"/>
  <c r="E21" i="48"/>
  <c r="D21" i="48"/>
  <c r="F20" i="48"/>
  <c r="E20" i="48"/>
  <c r="D20" i="48"/>
  <c r="F19" i="48"/>
  <c r="E19" i="48"/>
  <c r="D19" i="48"/>
  <c r="F18" i="48"/>
  <c r="E18" i="48"/>
  <c r="D18" i="48"/>
  <c r="F17" i="48"/>
  <c r="E17" i="48"/>
  <c r="D17" i="48"/>
  <c r="F16" i="48"/>
  <c r="E16" i="48"/>
  <c r="D16" i="48"/>
  <c r="F15" i="48"/>
  <c r="E15" i="48"/>
  <c r="D15" i="48"/>
  <c r="F12" i="48"/>
  <c r="E12" i="48"/>
  <c r="D12" i="48"/>
  <c r="F9" i="48"/>
  <c r="E9" i="48"/>
  <c r="D9" i="48"/>
  <c r="K283" i="48"/>
  <c r="C276" i="48"/>
  <c r="F276" i="48" s="1"/>
  <c r="C277" i="48"/>
  <c r="F277" i="48" s="1"/>
  <c r="C278" i="48"/>
  <c r="F278" i="48" s="1"/>
  <c r="C279" i="48"/>
  <c r="F279" i="48" s="1"/>
  <c r="C280" i="48"/>
  <c r="D280" i="48" s="1"/>
  <c r="C281" i="48"/>
  <c r="F281" i="48" s="1"/>
  <c r="C264" i="48"/>
  <c r="F264" i="48" s="1"/>
  <c r="C265" i="48"/>
  <c r="F265" i="48" s="1"/>
  <c r="C266" i="48"/>
  <c r="F266" i="48" s="1"/>
  <c r="C267" i="48"/>
  <c r="D267" i="48" s="1"/>
  <c r="C268" i="48"/>
  <c r="F268" i="48" s="1"/>
  <c r="C269" i="48"/>
  <c r="F269" i="48" s="1"/>
  <c r="C270" i="48"/>
  <c r="F270" i="48" s="1"/>
  <c r="C271" i="48"/>
  <c r="F271" i="48" s="1"/>
  <c r="C272" i="48"/>
  <c r="E272" i="48" s="1"/>
  <c r="C273" i="48"/>
  <c r="F273" i="48" s="1"/>
  <c r="C274" i="48"/>
  <c r="F274" i="48" s="1"/>
  <c r="C275" i="48"/>
  <c r="D275" i="48" s="1"/>
  <c r="C263" i="48"/>
  <c r="E263" i="48" s="1"/>
  <c r="E275" i="48" l="1"/>
  <c r="D264" i="48"/>
  <c r="F275" i="48"/>
  <c r="E264" i="48"/>
  <c r="D276" i="48"/>
  <c r="E276" i="48"/>
  <c r="D274" i="48"/>
  <c r="E274" i="48"/>
  <c r="D277" i="48"/>
  <c r="E277" i="48"/>
  <c r="E265" i="48"/>
  <c r="D273" i="48"/>
  <c r="E273" i="48"/>
  <c r="D268" i="48"/>
  <c r="E278" i="48"/>
  <c r="E279" i="48"/>
  <c r="D281" i="48"/>
  <c r="F263" i="48"/>
  <c r="D270" i="48"/>
  <c r="F272" i="48"/>
  <c r="E280" i="48"/>
  <c r="E267" i="48"/>
  <c r="D265" i="48"/>
  <c r="F267" i="48"/>
  <c r="E270" i="48"/>
  <c r="D278" i="48"/>
  <c r="F280" i="48"/>
  <c r="E268" i="48"/>
  <c r="D271" i="48"/>
  <c r="E281" i="48"/>
  <c r="D266" i="48"/>
  <c r="E271" i="48"/>
  <c r="D279" i="48"/>
  <c r="E266" i="48"/>
  <c r="D269" i="48"/>
  <c r="D263" i="48"/>
  <c r="E269" i="48"/>
  <c r="D272" i="48"/>
  <c r="C283" i="48"/>
  <c r="F283" i="48" l="1"/>
  <c r="E283" i="48"/>
  <c r="D283" i="48"/>
  <c r="G108" i="36" l="1"/>
  <c r="F108" i="36"/>
  <c r="E108" i="36"/>
  <c r="G107" i="36"/>
  <c r="F107" i="36"/>
  <c r="E107" i="36"/>
  <c r="G106" i="36"/>
  <c r="F106" i="36"/>
  <c r="E106" i="36"/>
  <c r="G103" i="36"/>
  <c r="F103" i="36"/>
  <c r="E103" i="36"/>
  <c r="G99" i="36"/>
  <c r="F99" i="36"/>
  <c r="E99" i="36"/>
  <c r="G98" i="36"/>
  <c r="F98" i="36"/>
  <c r="E98" i="36"/>
  <c r="G97" i="36"/>
  <c r="F97" i="36"/>
  <c r="E97" i="36"/>
  <c r="G95" i="36"/>
  <c r="F95" i="36"/>
  <c r="E95" i="36"/>
  <c r="G93" i="36"/>
  <c r="F93" i="36"/>
  <c r="E93" i="36"/>
  <c r="G92" i="36"/>
  <c r="F92" i="36"/>
  <c r="E92" i="36"/>
  <c r="G90" i="36"/>
  <c r="F90" i="36"/>
  <c r="E90" i="36"/>
  <c r="G88" i="36"/>
  <c r="F88" i="36"/>
  <c r="E88" i="36"/>
  <c r="G84" i="36"/>
  <c r="F84" i="36"/>
  <c r="E84" i="36"/>
  <c r="G83" i="36"/>
  <c r="F83" i="36"/>
  <c r="E83" i="36"/>
  <c r="G82" i="36"/>
  <c r="F82" i="36"/>
  <c r="E82" i="36"/>
  <c r="G81" i="36"/>
  <c r="F81" i="36"/>
  <c r="E81" i="36"/>
  <c r="G80" i="36"/>
  <c r="F80" i="36"/>
  <c r="E80" i="36"/>
  <c r="G79" i="36"/>
  <c r="F79" i="36"/>
  <c r="E79" i="36"/>
  <c r="G78" i="36"/>
  <c r="F78" i="36"/>
  <c r="E78" i="36"/>
  <c r="G77" i="36"/>
  <c r="F77" i="36"/>
  <c r="E77" i="36"/>
  <c r="G76" i="36"/>
  <c r="F76" i="36"/>
  <c r="E76" i="36"/>
  <c r="G75" i="36"/>
  <c r="F75" i="36"/>
  <c r="E75" i="36"/>
  <c r="G74" i="36"/>
  <c r="F74" i="36"/>
  <c r="E74" i="36"/>
  <c r="G73" i="36"/>
  <c r="F73" i="36"/>
  <c r="E73" i="36"/>
  <c r="G72" i="36"/>
  <c r="F72" i="36"/>
  <c r="E72" i="36"/>
  <c r="G71" i="36"/>
  <c r="F71" i="36"/>
  <c r="E71" i="36"/>
  <c r="G70" i="36"/>
  <c r="F70" i="36"/>
  <c r="E70" i="36"/>
  <c r="G69" i="36"/>
  <c r="F69" i="36"/>
  <c r="E69" i="36"/>
  <c r="G68" i="36"/>
  <c r="F68" i="36"/>
  <c r="E68" i="36"/>
  <c r="G67" i="36"/>
  <c r="F67" i="36"/>
  <c r="E67" i="36"/>
  <c r="G66" i="36"/>
  <c r="F66" i="36"/>
  <c r="E66" i="36"/>
  <c r="G65" i="36"/>
  <c r="F65" i="36"/>
  <c r="E65" i="36"/>
  <c r="G64" i="36"/>
  <c r="F64" i="36"/>
  <c r="E64" i="36"/>
  <c r="G63" i="36"/>
  <c r="F63" i="36"/>
  <c r="E63" i="36"/>
  <c r="G62" i="36"/>
  <c r="F62" i="36"/>
  <c r="E62" i="36"/>
  <c r="G61" i="36"/>
  <c r="F61" i="36"/>
  <c r="E61" i="36"/>
  <c r="G60" i="36"/>
  <c r="F60" i="36"/>
  <c r="E60" i="36"/>
  <c r="G58" i="36"/>
  <c r="F58" i="36"/>
  <c r="E58" i="36"/>
  <c r="G57" i="36"/>
  <c r="F57" i="36"/>
  <c r="E57" i="36"/>
  <c r="G56" i="36"/>
  <c r="F56" i="36"/>
  <c r="E56" i="36"/>
  <c r="G55" i="36"/>
  <c r="F55" i="36"/>
  <c r="E55" i="36"/>
  <c r="G54" i="36"/>
  <c r="F54" i="36"/>
  <c r="E54" i="36"/>
  <c r="G53" i="36"/>
  <c r="F53" i="36"/>
  <c r="E53" i="36"/>
  <c r="G52" i="36"/>
  <c r="F52" i="36"/>
  <c r="E52" i="36"/>
  <c r="G51" i="36"/>
  <c r="F51" i="36"/>
  <c r="E51" i="36"/>
  <c r="G50" i="36"/>
  <c r="F50" i="36"/>
  <c r="E50" i="36"/>
  <c r="G49" i="36"/>
  <c r="F49" i="36"/>
  <c r="E49" i="36"/>
  <c r="G48" i="36"/>
  <c r="F48" i="36"/>
  <c r="E48" i="36"/>
  <c r="G47" i="36"/>
  <c r="F47" i="36"/>
  <c r="E47" i="36"/>
  <c r="G46" i="36"/>
  <c r="F46" i="36"/>
  <c r="E46" i="36"/>
  <c r="G45" i="36"/>
  <c r="F45" i="36"/>
  <c r="E45" i="36"/>
  <c r="G44" i="36"/>
  <c r="F44" i="36"/>
  <c r="E44" i="36"/>
  <c r="G43" i="36"/>
  <c r="F43" i="36"/>
  <c r="E43" i="36"/>
  <c r="G41" i="36"/>
  <c r="F41" i="36"/>
  <c r="E41" i="36"/>
  <c r="G39" i="36"/>
  <c r="F39" i="36"/>
  <c r="E39" i="36"/>
  <c r="G38" i="36"/>
  <c r="F38" i="36"/>
  <c r="E38" i="36"/>
  <c r="G37" i="36"/>
  <c r="F37" i="36"/>
  <c r="E37" i="36"/>
  <c r="G35" i="36"/>
  <c r="F35" i="36"/>
  <c r="E35" i="36"/>
  <c r="G34" i="36"/>
  <c r="F34" i="36"/>
  <c r="E34" i="36"/>
  <c r="G33" i="36"/>
  <c r="F33" i="36"/>
  <c r="E33" i="36"/>
  <c r="G32" i="36"/>
  <c r="F32" i="36"/>
  <c r="E32" i="36"/>
  <c r="G31" i="36"/>
  <c r="F31" i="36"/>
  <c r="E31" i="36"/>
  <c r="G29" i="36"/>
  <c r="F29" i="36"/>
  <c r="E29" i="36"/>
  <c r="G27" i="36"/>
  <c r="F27" i="36"/>
  <c r="E27" i="36"/>
  <c r="G26" i="36"/>
  <c r="F26" i="36"/>
  <c r="E26" i="36"/>
  <c r="G25" i="36"/>
  <c r="F25" i="36"/>
  <c r="E25" i="36"/>
  <c r="G24" i="36"/>
  <c r="F24" i="36"/>
  <c r="E24" i="36"/>
  <c r="G22" i="36"/>
  <c r="F22" i="36"/>
  <c r="E22" i="36"/>
  <c r="G21" i="36"/>
  <c r="F21" i="36"/>
  <c r="E21" i="36"/>
  <c r="G20" i="36"/>
  <c r="F20" i="36"/>
  <c r="E20" i="36"/>
  <c r="G19" i="36"/>
  <c r="F19" i="36"/>
  <c r="E19" i="36"/>
  <c r="G18" i="36"/>
  <c r="F18" i="36"/>
  <c r="E18" i="36"/>
  <c r="G17" i="36"/>
  <c r="F17" i="36"/>
  <c r="E17" i="36"/>
  <c r="G16" i="36"/>
  <c r="F16" i="36"/>
  <c r="E16" i="36"/>
  <c r="G15" i="36"/>
  <c r="F15" i="36"/>
  <c r="E15" i="36"/>
  <c r="G13" i="36"/>
  <c r="F13" i="36"/>
  <c r="E13" i="36"/>
  <c r="G12" i="36"/>
  <c r="F12" i="36"/>
  <c r="E12" i="36"/>
  <c r="G10" i="36"/>
  <c r="F10" i="36"/>
  <c r="E10" i="36"/>
  <c r="G9" i="36"/>
  <c r="F9" i="36"/>
  <c r="E9" i="36"/>
  <c r="G8" i="36"/>
  <c r="F8" i="36"/>
  <c r="E8" i="36"/>
  <c r="G7" i="36"/>
  <c r="F7" i="36"/>
  <c r="E7" i="36"/>
  <c r="E6" i="36"/>
  <c r="F6" i="36"/>
  <c r="G6" i="36"/>
  <c r="G5" i="36"/>
  <c r="F5" i="36"/>
  <c r="E5" i="36"/>
  <c r="G104" i="36"/>
  <c r="G101" i="36"/>
  <c r="G96" i="36"/>
  <c r="G91" i="36"/>
  <c r="G42" i="36"/>
  <c r="G40" i="36"/>
  <c r="G36" i="36"/>
  <c r="G28" i="36"/>
  <c r="G11" i="36"/>
  <c r="G4" i="36"/>
  <c r="E104" i="36"/>
  <c r="E101" i="36"/>
  <c r="E96" i="36"/>
  <c r="E91" i="36"/>
  <c r="E42" i="36"/>
  <c r="E40" i="36"/>
  <c r="E36" i="36"/>
  <c r="E28" i="36"/>
  <c r="E11" i="36"/>
  <c r="E4" i="36"/>
  <c r="G105" i="36"/>
  <c r="G102" i="36"/>
  <c r="G100" i="36"/>
  <c r="G94" i="36"/>
  <c r="G89" i="36"/>
  <c r="G87" i="36"/>
  <c r="G86" i="36"/>
  <c r="G85" i="36"/>
  <c r="G59" i="36"/>
  <c r="G30" i="36"/>
  <c r="G23" i="36"/>
  <c r="G14" i="36"/>
  <c r="D109" i="36"/>
  <c r="F109" i="36" l="1"/>
  <c r="E109" i="36"/>
  <c r="G109" i="36"/>
  <c r="J283" i="48" l="1"/>
  <c r="H283" i="48"/>
  <c r="I283" i="48"/>
  <c r="L283" i="48"/>
  <c r="N11" i="36" l="1"/>
  <c r="L5" i="36"/>
  <c r="N23" i="36"/>
  <c r="M28" i="36"/>
  <c r="M30" i="36"/>
  <c r="N40" i="36"/>
  <c r="L42" i="36"/>
  <c r="M86" i="36"/>
  <c r="M87" i="36"/>
  <c r="N89" i="36"/>
  <c r="N91" i="36"/>
  <c r="M93" i="36"/>
  <c r="M94" i="36"/>
  <c r="L95" i="36"/>
  <c r="M96" i="36"/>
  <c r="M97" i="36"/>
  <c r="M101" i="36"/>
  <c r="N102" i="36"/>
  <c r="M104" i="36"/>
  <c r="M105" i="36"/>
  <c r="N7" i="36"/>
  <c r="M14" i="36"/>
  <c r="M36" i="36"/>
  <c r="L92" i="36"/>
  <c r="N100" i="36"/>
  <c r="J109" i="36"/>
  <c r="L11" i="36" l="1"/>
  <c r="M11" i="36"/>
  <c r="L4" i="36"/>
  <c r="L91" i="36"/>
  <c r="L30" i="36"/>
  <c r="N30" i="36"/>
  <c r="M89" i="36"/>
  <c r="N14" i="36"/>
  <c r="N85" i="36"/>
  <c r="M85" i="36"/>
  <c r="N90" i="36"/>
  <c r="L90" i="36"/>
  <c r="M90" i="36"/>
  <c r="M98" i="36"/>
  <c r="L98" i="36"/>
  <c r="N98" i="36"/>
  <c r="M59" i="36"/>
  <c r="L59" i="36"/>
  <c r="M40" i="36"/>
  <c r="L14" i="36"/>
  <c r="I109" i="36"/>
  <c r="L94" i="36"/>
  <c r="N59" i="36"/>
  <c r="L105" i="36"/>
  <c r="N94" i="36"/>
  <c r="N105" i="36"/>
  <c r="M42" i="36"/>
  <c r="L85" i="36"/>
  <c r="M91" i="36"/>
  <c r="L86" i="36"/>
  <c r="M23" i="36"/>
  <c r="M100" i="36"/>
  <c r="N86" i="36"/>
  <c r="M102" i="36"/>
  <c r="N96" i="36"/>
  <c r="L87" i="36"/>
  <c r="N87" i="36"/>
  <c r="N101" i="36"/>
  <c r="L89" i="36"/>
  <c r="L23" i="36"/>
  <c r="L100" i="36"/>
  <c r="L101" i="36"/>
  <c r="L102" i="36"/>
  <c r="L96" i="36"/>
  <c r="N104" i="36"/>
  <c r="N95" i="36"/>
  <c r="L104" i="36"/>
  <c r="L97" i="36"/>
  <c r="L28" i="36"/>
  <c r="L36" i="36"/>
  <c r="N28" i="36"/>
  <c r="N97" i="36"/>
  <c r="L40" i="36"/>
  <c r="N42" i="36"/>
  <c r="N36" i="36"/>
  <c r="M95" i="36"/>
  <c r="M92" i="36"/>
  <c r="N93" i="36"/>
  <c r="N92" i="36"/>
  <c r="L93" i="36"/>
  <c r="M7" i="36"/>
  <c r="L7" i="36"/>
  <c r="N4" i="36" l="1"/>
  <c r="M4" i="36"/>
  <c r="N22" i="36"/>
  <c r="L22" i="36"/>
  <c r="M22" i="36"/>
  <c r="N58" i="36"/>
  <c r="L58" i="36"/>
  <c r="M58" i="36"/>
  <c r="N29" i="36"/>
  <c r="L29" i="36"/>
  <c r="M29" i="36"/>
  <c r="N82" i="36" l="1"/>
  <c r="L82" i="36"/>
  <c r="M82" i="36"/>
  <c r="N51" i="36"/>
  <c r="L51" i="36"/>
  <c r="M51" i="36"/>
  <c r="L12" i="36"/>
  <c r="M12" i="36"/>
  <c r="N12" i="36"/>
  <c r="N81" i="36"/>
  <c r="L81" i="36"/>
  <c r="M81" i="36"/>
  <c r="M50" i="36"/>
  <c r="N50" i="36"/>
  <c r="L50" i="36"/>
  <c r="M18" i="36"/>
  <c r="N18" i="36"/>
  <c r="L18" i="36"/>
  <c r="N56" i="36"/>
  <c r="L56" i="36"/>
  <c r="M56" i="36"/>
  <c r="M26" i="36"/>
  <c r="N26" i="36"/>
  <c r="L26" i="36"/>
  <c r="M55" i="36"/>
  <c r="N55" i="36"/>
  <c r="L55" i="36"/>
  <c r="M9" i="36"/>
  <c r="N9" i="36"/>
  <c r="L9" i="36"/>
  <c r="M70" i="36"/>
  <c r="N70" i="36"/>
  <c r="L70" i="36"/>
  <c r="M62" i="36"/>
  <c r="N62" i="36"/>
  <c r="L62" i="36"/>
  <c r="M54" i="36"/>
  <c r="N54" i="36"/>
  <c r="L54" i="36"/>
  <c r="M47" i="36"/>
  <c r="N47" i="36"/>
  <c r="L47" i="36"/>
  <c r="M33" i="36"/>
  <c r="N33" i="36"/>
  <c r="L33" i="36"/>
  <c r="M24" i="36"/>
  <c r="N24" i="36"/>
  <c r="L24" i="36"/>
  <c r="N15" i="36"/>
  <c r="L15" i="36"/>
  <c r="M15" i="36"/>
  <c r="M8" i="36"/>
  <c r="N8" i="36"/>
  <c r="L8" i="36"/>
  <c r="N99" i="36"/>
  <c r="L99" i="36"/>
  <c r="M99" i="36"/>
  <c r="N73" i="36"/>
  <c r="L73" i="36"/>
  <c r="M73" i="36"/>
  <c r="M80" i="36"/>
  <c r="N80" i="36"/>
  <c r="L80" i="36"/>
  <c r="L49" i="36"/>
  <c r="M49" i="36"/>
  <c r="N49" i="36"/>
  <c r="M10" i="36"/>
  <c r="N10" i="36"/>
  <c r="L10" i="36"/>
  <c r="N79" i="36"/>
  <c r="L79" i="36"/>
  <c r="M79" i="36"/>
  <c r="M48" i="36"/>
  <c r="N48" i="36"/>
  <c r="L48" i="36"/>
  <c r="M78" i="36"/>
  <c r="N78" i="36"/>
  <c r="L78" i="36"/>
  <c r="M5" i="36"/>
  <c r="N5" i="36"/>
  <c r="M84" i="36"/>
  <c r="N84" i="36"/>
  <c r="L84" i="36"/>
  <c r="M77" i="36"/>
  <c r="N77" i="36"/>
  <c r="L77" i="36"/>
  <c r="M69" i="36"/>
  <c r="N69" i="36"/>
  <c r="L69" i="36"/>
  <c r="M61" i="36"/>
  <c r="N61" i="36"/>
  <c r="L61" i="36"/>
  <c r="M53" i="36"/>
  <c r="N53" i="36"/>
  <c r="L53" i="36"/>
  <c r="N46" i="36"/>
  <c r="L46" i="36"/>
  <c r="M46" i="36"/>
  <c r="M39" i="36"/>
  <c r="N39" i="36"/>
  <c r="L39" i="36"/>
  <c r="N32" i="36"/>
  <c r="L32" i="36"/>
  <c r="M32" i="36"/>
  <c r="N6" i="36"/>
  <c r="L6" i="36"/>
  <c r="M6" i="36"/>
  <c r="N66" i="36"/>
  <c r="L66" i="36"/>
  <c r="M66" i="36"/>
  <c r="N88" i="36"/>
  <c r="L88" i="36"/>
  <c r="M88" i="36"/>
  <c r="N65" i="36"/>
  <c r="L65" i="36"/>
  <c r="M65" i="36"/>
  <c r="M35" i="36"/>
  <c r="N35" i="36"/>
  <c r="L35" i="36"/>
  <c r="L64" i="36"/>
  <c r="M64" i="36"/>
  <c r="N64" i="36"/>
  <c r="M34" i="36"/>
  <c r="L34" i="36"/>
  <c r="N34" i="36"/>
  <c r="N71" i="36"/>
  <c r="M71" i="36"/>
  <c r="L71" i="36"/>
  <c r="N16" i="36"/>
  <c r="L16" i="36"/>
  <c r="M16" i="36"/>
  <c r="N83" i="36"/>
  <c r="L83" i="36"/>
  <c r="M83" i="36"/>
  <c r="N68" i="36"/>
  <c r="L68" i="36"/>
  <c r="M68" i="36"/>
  <c r="N60" i="36"/>
  <c r="L60" i="36"/>
  <c r="M60" i="36"/>
  <c r="M52" i="36"/>
  <c r="N52" i="36"/>
  <c r="L52" i="36"/>
  <c r="N45" i="36"/>
  <c r="L45" i="36"/>
  <c r="M45" i="36"/>
  <c r="M38" i="36"/>
  <c r="N38" i="36"/>
  <c r="L38" i="36"/>
  <c r="M31" i="36"/>
  <c r="N31" i="36"/>
  <c r="L31" i="36"/>
  <c r="N21" i="36"/>
  <c r="L21" i="36"/>
  <c r="M21" i="36"/>
  <c r="N74" i="36"/>
  <c r="L74" i="36"/>
  <c r="M74" i="36"/>
  <c r="N43" i="36"/>
  <c r="L43" i="36"/>
  <c r="M43" i="36"/>
  <c r="N19" i="36"/>
  <c r="L19" i="36"/>
  <c r="M19" i="36"/>
  <c r="L57" i="36"/>
  <c r="M57" i="36"/>
  <c r="N57" i="36"/>
  <c r="N27" i="36"/>
  <c r="M27" i="36"/>
  <c r="L27" i="36"/>
  <c r="N72" i="36"/>
  <c r="L72" i="36"/>
  <c r="M72" i="36"/>
  <c r="N41" i="36"/>
  <c r="M41" i="36"/>
  <c r="L41" i="36"/>
  <c r="M17" i="36"/>
  <c r="N17" i="36"/>
  <c r="L17" i="36"/>
  <c r="N103" i="36"/>
  <c r="L103" i="36"/>
  <c r="M103" i="36"/>
  <c r="M63" i="36"/>
  <c r="N63" i="36"/>
  <c r="L63" i="36"/>
  <c r="M25" i="36"/>
  <c r="N25" i="36"/>
  <c r="L25" i="36"/>
  <c r="M76" i="36"/>
  <c r="N76" i="36"/>
  <c r="L76" i="36"/>
  <c r="M75" i="36"/>
  <c r="N75" i="36"/>
  <c r="L75" i="36"/>
  <c r="N67" i="36"/>
  <c r="L67" i="36"/>
  <c r="M67" i="36"/>
  <c r="N44" i="36"/>
  <c r="L44" i="36"/>
  <c r="M44" i="36"/>
  <c r="N37" i="36"/>
  <c r="L37" i="36"/>
  <c r="M37" i="36"/>
  <c r="N20" i="36"/>
  <c r="M20" i="36"/>
  <c r="L20" i="36"/>
  <c r="M13" i="36"/>
  <c r="L13" i="36"/>
  <c r="N13" i="36"/>
  <c r="K109" i="36"/>
  <c r="L109" i="36" l="1"/>
  <c r="M109" i="36"/>
  <c r="N109" i="36"/>
  <c r="C56" i="13" l="1"/>
  <c r="D56" i="13"/>
  <c r="C44" i="13"/>
  <c r="D44" i="13"/>
  <c r="D4" i="13" l="1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5" i="13"/>
  <c r="D46" i="13"/>
  <c r="D47" i="13"/>
  <c r="D48" i="13"/>
  <c r="D49" i="13"/>
  <c r="D50" i="13"/>
  <c r="D51" i="13"/>
  <c r="D52" i="13"/>
  <c r="D53" i="13"/>
  <c r="D54" i="13"/>
  <c r="D55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5" i="13"/>
  <c r="C46" i="13"/>
  <c r="C47" i="13"/>
  <c r="C48" i="13"/>
  <c r="C49" i="13"/>
  <c r="C50" i="13"/>
  <c r="C51" i="13"/>
  <c r="C52" i="13"/>
  <c r="C53" i="13"/>
  <c r="C54" i="13"/>
  <c r="C55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D3" i="13"/>
  <c r="C3" i="13"/>
  <c r="B119" i="13"/>
  <c r="D119" i="13" l="1"/>
  <c r="C119" i="13"/>
</calcChain>
</file>

<file path=xl/sharedStrings.xml><?xml version="1.0" encoding="utf-8"?>
<sst xmlns="http://schemas.openxmlformats.org/spreadsheetml/2006/main" count="3103" uniqueCount="1261">
  <si>
    <t>ethio telecom share (40%)</t>
  </si>
  <si>
    <t xml:space="preserve">Remark </t>
  </si>
  <si>
    <t>SD</t>
  </si>
  <si>
    <t>RA</t>
  </si>
  <si>
    <t>Partner share (60%)</t>
  </si>
  <si>
    <t>Remark</t>
  </si>
  <si>
    <t>Short Code</t>
  </si>
  <si>
    <t>SD report</t>
  </si>
  <si>
    <t>Total Revenue</t>
  </si>
  <si>
    <t>June-2022 total Revenue</t>
  </si>
  <si>
    <t>ethio telecom share (30%)</t>
  </si>
  <si>
    <t>Partner share (70%)</t>
  </si>
  <si>
    <t>100% sponsership</t>
  </si>
  <si>
    <t>Special revenue share model (65% Partner : 35% ethio telecom)</t>
  </si>
  <si>
    <t>100% Sponsorship</t>
  </si>
  <si>
    <t xml:space="preserve">MA DSDP Charging </t>
  </si>
  <si>
    <t>RAFM</t>
  </si>
  <si>
    <t>Ethio Share (40%)</t>
  </si>
  <si>
    <t>MA share (10%)</t>
  </si>
  <si>
    <t>Partner share (50%)</t>
  </si>
  <si>
    <t>MEBERATU ABREHA GERMAY</t>
  </si>
  <si>
    <t>Two F Capital PLC</t>
  </si>
  <si>
    <t>Total</t>
  </si>
  <si>
    <t>Short code</t>
  </si>
  <si>
    <t>Partner Nam</t>
  </si>
  <si>
    <t xml:space="preserve">Service Type </t>
  </si>
  <si>
    <t>MO</t>
  </si>
  <si>
    <t>Deducted due to Fraud</t>
  </si>
  <si>
    <t>MT</t>
  </si>
  <si>
    <t>MEKEDONIA HOME FOR THE ELDERY AND THE MENTALLY DISABLE</t>
  </si>
  <si>
    <t>ELPID TRADING PLC</t>
  </si>
  <si>
    <t>YOSEF ABERA ESHETE</t>
  </si>
  <si>
    <t>DIGAF TEC TECHNOLOGY SERVICE PLC</t>
  </si>
  <si>
    <t>Ameha Wehibe Ict Service Co.</t>
  </si>
  <si>
    <t>ETHIOPIAN RED CROSS SOCIETY</t>
  </si>
  <si>
    <t>NANA SERVICES PLC</t>
  </si>
  <si>
    <t>BERIHUNE GEZAHEGN TELAHUN</t>
  </si>
  <si>
    <t>CHILDREN S HEART FUND ETH . .</t>
  </si>
  <si>
    <t>MARY JOY DEVELOPMENT ASSOCIATION</t>
  </si>
  <si>
    <t>AMAN WASSIE ABDE</t>
  </si>
  <si>
    <t>YEETHIOPIA CANCER ASSOCIATION . .</t>
  </si>
  <si>
    <t>10%/90% Sponsorship</t>
  </si>
  <si>
    <t>MUDAYE BEGO ADRAGOT MAHIBER</t>
  </si>
  <si>
    <t>MEMBER MULTIMIDIA PRODACTION PLC</t>
  </si>
  <si>
    <t>FIKRIE GEBEW TELECOMMUNICATION VAT</t>
  </si>
  <si>
    <t>Ethio Digital vas Solution</t>
  </si>
  <si>
    <t>Tecido Trading P.L.C</t>
  </si>
  <si>
    <t>AGE ENGINEERING PLC</t>
  </si>
  <si>
    <t>AL HABESHA MEDIA &amp; COMMUNICATION PLC</t>
  </si>
  <si>
    <t>TSIGE SOLOMON LEMU</t>
  </si>
  <si>
    <t>AMARS PLAN TRADING PLC</t>
  </si>
  <si>
    <t>DANIEL GETENET TELE COMM. VAS</t>
  </si>
  <si>
    <t>WB INFORMATION  TECHNOLOGY PLC</t>
  </si>
  <si>
    <t>S SQUARE MARKETING PLC</t>
  </si>
  <si>
    <t>AFRU FILM PROMOTION  ENTERTAIMENT</t>
  </si>
  <si>
    <t>CORE ENGINEERING TECHNOLOGY P.L.C.</t>
  </si>
  <si>
    <t>NILE IT TECHNOLOGY PLC</t>
  </si>
  <si>
    <t>ELMAR TECHNOLOGY PLC</t>
  </si>
  <si>
    <t>Siyt It Technology PLC</t>
  </si>
  <si>
    <t>ORIGIN ICT SOLUTION PLC</t>
  </si>
  <si>
    <t>BLUE IT SOLUTION PLC</t>
  </si>
  <si>
    <t>BILALUL HABESHI COM</t>
  </si>
  <si>
    <t>BONTY IT TECH PLC</t>
  </si>
  <si>
    <t>SHEK ADEM TULA FOUNDATION</t>
  </si>
  <si>
    <t>Tecno Vas Technology</t>
  </si>
  <si>
    <t>Dagnew Tesfamariam Asgedom</t>
  </si>
  <si>
    <t>ZEMENU TAREKEGN BITAW</t>
  </si>
  <si>
    <t>WALTA MEDIA &amp; COMMUNICATION CORPORATE S.C</t>
  </si>
  <si>
    <t>MIHIRET BISHAW ABAMECHA</t>
  </si>
  <si>
    <t>KHALED SALAH HUSSEN (GO TECH TECHNOLOGY)</t>
  </si>
  <si>
    <t>AWOLIA RELIEF AND DEVELOPMENT ORGANIZITION</t>
  </si>
  <si>
    <t>Ri Com Value Add and Telecommunication Materials service</t>
  </si>
  <si>
    <t>TOLAWAK DUGASSA WIRTU</t>
  </si>
  <si>
    <t>ECO PLUS IT TECHNOLOGY PLC</t>
  </si>
  <si>
    <t>LATA SENBETO VALUE ADDED SERVICES</t>
  </si>
  <si>
    <t>Babul Kheyer Yebego Adiragote Dirijit</t>
  </si>
  <si>
    <t>YESIR LENA CHARITY ORGANIZATION(YCO)</t>
  </si>
  <si>
    <t>MEDON IT SOLUTION PLC</t>
  </si>
  <si>
    <t>CLASSIC TECHNOLOGY P.L.C</t>
  </si>
  <si>
    <t>MELU SERVICES P.L.C</t>
  </si>
  <si>
    <t>H.P.N.R.S BEZUHANE MEGENAGNA HARAR</t>
  </si>
  <si>
    <t>NEJASH CHARITABLE ORGANIZATION</t>
  </si>
  <si>
    <t>HIKMA ELECTRONICS PLC</t>
  </si>
  <si>
    <t>OMERICON ELECTRICAL AND IT SOLUTION</t>
  </si>
  <si>
    <t>DS MEDIA</t>
  </si>
  <si>
    <t>ADEY TINSAE MEDIA AND ENTERTAINMENT PLC . .</t>
  </si>
  <si>
    <t>HILL INTERNAT SERVICE PLC</t>
  </si>
  <si>
    <t>ONE LOVE BROADCASTING SERVICE PLC</t>
  </si>
  <si>
    <t>ECOM TECHNOLOGIES PLC</t>
  </si>
  <si>
    <t>COMTEL TRADING PLC</t>
  </si>
  <si>
    <t>HABESHA WEEKLY PROMOTION PLC</t>
  </si>
  <si>
    <t>TRAD ETHIOPIA COMMISSIONING</t>
  </si>
  <si>
    <t>Kutako Solutions</t>
  </si>
  <si>
    <t>BALAGERU MULTIMEDIA CENTER SC</t>
  </si>
  <si>
    <t>City Governement of Addis Ababa City Administration</t>
  </si>
  <si>
    <t>SPEED TECH IT TECHNOLOGY PLC</t>
  </si>
  <si>
    <t>BELCASH TECHNOLOGY SOLUTION PLC</t>
  </si>
  <si>
    <t>RIVA COM TECHNOLOGY PLC IT</t>
  </si>
  <si>
    <t>BELCASH TECHNOLOGY SOLUTIONS PLC</t>
  </si>
  <si>
    <t>NIA FOUNDATION</t>
  </si>
  <si>
    <t>MINISTRY OF WOMEN AND SOCIAL AFFAIRS</t>
  </si>
  <si>
    <t>AWASH FM 90.7</t>
  </si>
  <si>
    <t>ANDEGNA ECOMMERCE AND TRADING PLC</t>
  </si>
  <si>
    <t>APPOSIT TECHNOLOGY SOLUTIONS PLC</t>
  </si>
  <si>
    <t>Circles Technologies PLC</t>
  </si>
  <si>
    <t>TILTEK TECHNOLOGY PLC.</t>
  </si>
  <si>
    <t>Technolab Digital Service</t>
  </si>
  <si>
    <t>OROMIA BROTHERS AND SISTERS UNITY CHARITY ORGANIZATION</t>
  </si>
  <si>
    <t>BILALUL MEDIA PLC</t>
  </si>
  <si>
    <t>WALEED A ABDULARAHAMAN</t>
  </si>
  <si>
    <t>MOHAMMED ABDO NAJI</t>
  </si>
  <si>
    <t>GERGESENON YEAYMERO HEMUMAN MERJA MAHIBER YEAYMERO HEMUMAN MERJA MAHIBER</t>
  </si>
  <si>
    <t>Awad Salim Awade</t>
  </si>
  <si>
    <t>SALIM AWOD VALUE ADDED SERVICES</t>
  </si>
  <si>
    <t xml:space="preserve">Validated </t>
  </si>
  <si>
    <t>APLUS TELECOM SERVICE PLC</t>
  </si>
  <si>
    <t>TINSAE MULUGETA</t>
  </si>
  <si>
    <t>Birikt Tewelede Weledgirgis</t>
  </si>
  <si>
    <t>FAMEVAS</t>
  </si>
  <si>
    <t>July 2024 Over Payment</t>
  </si>
  <si>
    <t>Excellent youth person</t>
  </si>
  <si>
    <t>TIGRAY DEVELOPMENT ASSOCI</t>
  </si>
  <si>
    <t>HACALU HUNDESSA FOUNDATION</t>
  </si>
  <si>
    <t>HAMILTEN MELTI MIDIA PLC</t>
  </si>
  <si>
    <t>IMAN ISLAMIC ASSOCIATION</t>
  </si>
  <si>
    <t>Hibiret Lebego Yethiopiawiyan Bego Adiragot DIRIJIT</t>
  </si>
  <si>
    <t>Partner Name</t>
  </si>
  <si>
    <t xml:space="preserve">Legacy SDP Charging </t>
  </si>
  <si>
    <t>Technolab Interactive PLC</t>
  </si>
  <si>
    <t>Service ID</t>
  </si>
  <si>
    <t>Actual</t>
  </si>
  <si>
    <t>Final to be Paid to Partner</t>
  </si>
  <si>
    <t>TOTAL</t>
  </si>
  <si>
    <t>To be deducted(Fraud)</t>
  </si>
  <si>
    <t>TechnoLab Interactive PLC</t>
  </si>
  <si>
    <t>24:6:70</t>
  </si>
  <si>
    <t>I Connect Digital Service PLC</t>
  </si>
  <si>
    <t xml:space="preserve">Teleport Technologies PLC </t>
  </si>
  <si>
    <t>34:6:60</t>
  </si>
  <si>
    <t>FANA BROADCASTING CORPORATE S.C (8100)</t>
  </si>
  <si>
    <t>Info Tech Systems/Ashenafi negusse</t>
  </si>
  <si>
    <t>Kulu network plc</t>
  </si>
  <si>
    <t>ASHENAFI NIGUSSIE TEKLU</t>
  </si>
  <si>
    <t>Yishemtu Technology plc</t>
  </si>
  <si>
    <t>Tewodros Alemayehu Telecommunication VAS</t>
  </si>
  <si>
    <t>251 ideas</t>
  </si>
  <si>
    <t>Kutak Solutions</t>
  </si>
  <si>
    <t>Amisoft IT Solution</t>
  </si>
  <si>
    <t>PLAYSTREAM INTERACTIVE PLC</t>
  </si>
  <si>
    <t>Kiya Tech plc</t>
  </si>
  <si>
    <t>Tsehay Ashagrie Telecommunication VAS</t>
  </si>
  <si>
    <t>Ashenafi Negussie Teklu</t>
  </si>
  <si>
    <t>ATN Technology</t>
  </si>
  <si>
    <t>Startups technologis plc</t>
  </si>
  <si>
    <t>Peace Technology</t>
  </si>
  <si>
    <t>Bora General Trading</t>
  </si>
  <si>
    <t>Kutak solutions</t>
  </si>
  <si>
    <t>Telco vas</t>
  </si>
  <si>
    <t>Workalem Gugssa</t>
  </si>
  <si>
    <t>Right Tech</t>
  </si>
  <si>
    <t>Elpida Trading PLC</t>
  </si>
  <si>
    <t>Warkinesh Tulu</t>
  </si>
  <si>
    <t>Kutak solution</t>
  </si>
  <si>
    <t>Itex Technology consulting PLC</t>
  </si>
  <si>
    <t>T A F Private Limited Company</t>
  </si>
  <si>
    <t>Link Net Communication plc</t>
  </si>
  <si>
    <t>AMARACH MEDIA &amp; ENTERTAINMENT PLC</t>
  </si>
  <si>
    <t xml:space="preserve">Matrix ICT Solutions PLC </t>
  </si>
  <si>
    <t>Bikila Lema</t>
  </si>
  <si>
    <t>TECHNOLAB DIGITAL SERVICE</t>
  </si>
  <si>
    <t>Elfe Technology PLC</t>
  </si>
  <si>
    <t>Amha Wehibe Importer and Technology</t>
  </si>
  <si>
    <t>Marame Amante VAS</t>
  </si>
  <si>
    <t>Zema Technologies PLC</t>
  </si>
  <si>
    <t>Eco Plus IT Solution</t>
  </si>
  <si>
    <t>Tak Technologies plc</t>
  </si>
  <si>
    <t>Excellent Technologies</t>
  </si>
  <si>
    <t>Speed Tech Technologies PLC</t>
  </si>
  <si>
    <t>Xerox trading plc</t>
  </si>
  <si>
    <t>Danat ICT System PLC</t>
  </si>
  <si>
    <t>Qene Technologies Plc</t>
  </si>
  <si>
    <t>Yessuneh defo Aman plc</t>
  </si>
  <si>
    <t>Jegnit ICT Sytem PLC</t>
  </si>
  <si>
    <t>Fikrie Gebeyew Amare</t>
  </si>
  <si>
    <t>Yoha Technology PLC</t>
  </si>
  <si>
    <t>Black Future consultancy S.C</t>
  </si>
  <si>
    <t>Hirenboot Computer import plc</t>
  </si>
  <si>
    <t>DANIEL ABEBE NEGATU</t>
  </si>
  <si>
    <t>Highlight Tradings</t>
  </si>
  <si>
    <t>Future IT Technologies PLC</t>
  </si>
  <si>
    <t>Star Technology</t>
  </si>
  <si>
    <t>MTK TECHNOLOGYS PLC</t>
  </si>
  <si>
    <t>Tigist Gebyaw Telecomunication Value Added Service</t>
  </si>
  <si>
    <t>ARMA technology plc</t>
  </si>
  <si>
    <t>Alif Technologies P.L.C</t>
  </si>
  <si>
    <t>Yoseph Abera</t>
  </si>
  <si>
    <t>Techview Digital Service PLC</t>
  </si>
  <si>
    <t>Comtel Trading</t>
  </si>
  <si>
    <t>Highest Techinology plc</t>
  </si>
  <si>
    <t>FMS IT Solution PLC</t>
  </si>
  <si>
    <t>Easy life solutions ICT PLC</t>
  </si>
  <si>
    <t>Elshaday Abera</t>
  </si>
  <si>
    <t>Hikma PLC</t>
  </si>
  <si>
    <t>Singitan Multimedia &amp; Press Works PLC</t>
  </si>
  <si>
    <t>Lumetech Enginering PLC</t>
  </si>
  <si>
    <t>Shimelis Matebu Debela</t>
  </si>
  <si>
    <t>NIZECELL</t>
  </si>
  <si>
    <t>All african</t>
  </si>
  <si>
    <t>Mulu Matebu</t>
  </si>
  <si>
    <t>Aman Wassie Abdie</t>
  </si>
  <si>
    <t xml:space="preserve">Core Engineering Technology plc </t>
  </si>
  <si>
    <t>Circle Technology PLC</t>
  </si>
  <si>
    <t>Shalkatraz Engineering PLC</t>
  </si>
  <si>
    <t>Mahlet Israel</t>
  </si>
  <si>
    <t>Ereality Technologies PLC</t>
  </si>
  <si>
    <t>WB Information Technology plc</t>
  </si>
  <si>
    <t>Rimas Technologies/Mustefa &amp; Sones</t>
  </si>
  <si>
    <t xml:space="preserve">Bealu Vas </t>
  </si>
  <si>
    <t>Ethio prenerse</t>
  </si>
  <si>
    <t>Inception Technologies/Dawit Nehemia</t>
  </si>
  <si>
    <t>Cloud Information Technology plc</t>
  </si>
  <si>
    <t>BTY Technology PLC</t>
  </si>
  <si>
    <t>Imran technology  plc</t>
  </si>
  <si>
    <t>Derartu Tsegaye Abera</t>
  </si>
  <si>
    <t>MUSTEFA &amp; SONS PLC</t>
  </si>
  <si>
    <t>Glory Technology PLC</t>
  </si>
  <si>
    <t>Auto Safety PLC</t>
  </si>
  <si>
    <t>Happy kids ICT PLC</t>
  </si>
  <si>
    <t>Kelil Aman</t>
  </si>
  <si>
    <t>Yam trading and digital service PLC</t>
  </si>
  <si>
    <t xml:space="preserve">Abdi Birhanu </t>
  </si>
  <si>
    <t>GLORY TECHNOLOGY</t>
  </si>
  <si>
    <t xml:space="preserve">Alen home solution </t>
  </si>
  <si>
    <t>Feven Eyasu Achaw/Be artistic</t>
  </si>
  <si>
    <t>Aman Wassie</t>
  </si>
  <si>
    <t>Smart Media PLC</t>
  </si>
  <si>
    <t>Ahadu Technology</t>
  </si>
  <si>
    <t>TechnoLab Digital Service</t>
  </si>
  <si>
    <t>MAM ICT Technology</t>
  </si>
  <si>
    <t>TIRUWORK TSEGAYE MOLLA</t>
  </si>
  <si>
    <t>SAMHAR TRADING PLC</t>
  </si>
  <si>
    <t>Hello Mereja PLC</t>
  </si>
  <si>
    <t>Nared general trading plc</t>
  </si>
  <si>
    <t>Tenachin Fitness Tips/Abdu Seid</t>
  </si>
  <si>
    <t>Surafel Shambel Keralem</t>
  </si>
  <si>
    <t>Royd Technology PLC</t>
  </si>
  <si>
    <t>GO DIGITAL PLC</t>
  </si>
  <si>
    <t>Samson Girma</t>
  </si>
  <si>
    <t>Aspire Utopia Solutions</t>
  </si>
  <si>
    <t>African Horn Computer Solution</t>
  </si>
  <si>
    <t>Yegara Advertising</t>
  </si>
  <si>
    <t xml:space="preserve">Dartech it business solution </t>
  </si>
  <si>
    <t xml:space="preserve">Bezawit Mulugeta VAS </t>
  </si>
  <si>
    <t>Swift Tech</t>
  </si>
  <si>
    <t xml:space="preserve">Fraf IT Solution </t>
  </si>
  <si>
    <t>Asha Isaak</t>
  </si>
  <si>
    <t>HAPPY TECHNOLOGY PLC</t>
  </si>
  <si>
    <t>TARIKU BELFA DEKO</t>
  </si>
  <si>
    <t>Telco VAS plc</t>
  </si>
  <si>
    <t>Shedeli Trading PLC</t>
  </si>
  <si>
    <t>Kefyalew Seyoum</t>
  </si>
  <si>
    <t>Leta Senbato Oljira</t>
  </si>
  <si>
    <t>Zuzui communication technolgy plc</t>
  </si>
  <si>
    <t>Meloni Value Added Sercvice Company</t>
  </si>
  <si>
    <t>Alexander Demeke</t>
  </si>
  <si>
    <t>S E VAS TRADING PLC</t>
  </si>
  <si>
    <t>Chartered Advisory Service PLC</t>
  </si>
  <si>
    <t>Tigist Teshome</t>
  </si>
  <si>
    <t>Ditech</t>
  </si>
  <si>
    <t>Primecom Technologies PLC</t>
  </si>
  <si>
    <t>Abem Tech plc</t>
  </si>
  <si>
    <t>Enlight Technologies PLC</t>
  </si>
  <si>
    <t>WAM ICT solution consultancy</t>
  </si>
  <si>
    <t>Hyper info tech technology plc</t>
  </si>
  <si>
    <t>WEBSPRIX IT SOLUTIONS PLC</t>
  </si>
  <si>
    <t>3 Birr /60 % from 5 birr daily subscribution for ethio telecom for data and the remaining 34%:6% : 60%</t>
  </si>
  <si>
    <t>MT ICT Technology plc</t>
  </si>
  <si>
    <t>Ultimate it solutions</t>
  </si>
  <si>
    <t>Neew ict and event organizer</t>
  </si>
  <si>
    <t xml:space="preserve">Aplus Telecom Service </t>
  </si>
  <si>
    <t>Matrix Consultancy/Berihun Gezahegn</t>
  </si>
  <si>
    <t>ART MEDA TRADING PLC</t>
  </si>
  <si>
    <t>YISHAK KEBEDE VAS</t>
  </si>
  <si>
    <t>Mekonnen Mulugeta VAS</t>
  </si>
  <si>
    <t>Horizon ICT Solution PLC</t>
  </si>
  <si>
    <t>Enable ET Consulting PLC</t>
  </si>
  <si>
    <t>BEALU DEMISSIE GORFE</t>
  </si>
  <si>
    <t xml:space="preserve">Kidist Ephrem </t>
  </si>
  <si>
    <t>Hyper info tech technology PLC</t>
  </si>
  <si>
    <t>Ok Fix</t>
  </si>
  <si>
    <t xml:space="preserve">Tinsae Mulugeta VAS </t>
  </si>
  <si>
    <t xml:space="preserve">Innovii Digital Service </t>
  </si>
  <si>
    <t>Nyala Insurance</t>
  </si>
  <si>
    <t>14 ;6 ;80</t>
  </si>
  <si>
    <t>Hope Entertainment PLC</t>
  </si>
  <si>
    <t>Zerihun Seifu Balcha</t>
  </si>
  <si>
    <t xml:space="preserve">POINT ICT TECHNOLOGY PLC  </t>
  </si>
  <si>
    <t>Tesfahun Sahile</t>
  </si>
  <si>
    <t>Bit Apps ICT Solution PLC</t>
  </si>
  <si>
    <t>Beta Systems PLC</t>
  </si>
  <si>
    <t xml:space="preserve">Scitech Vally Ict Solution Plc </t>
  </si>
  <si>
    <t>HAYATECH Trading PLC</t>
  </si>
  <si>
    <t>Qalam Educational plat form</t>
  </si>
  <si>
    <t xml:space="preserve">Blue Nile IT solution </t>
  </si>
  <si>
    <t>Meet consultancy</t>
  </si>
  <si>
    <t>SAN METROPOLITAN PLC</t>
  </si>
  <si>
    <t>Fame VAS</t>
  </si>
  <si>
    <t xml:space="preserve">Dibora Foundation </t>
  </si>
  <si>
    <t>Tazma Entertainment PLC</t>
  </si>
  <si>
    <t>To be deducted from next month</t>
  </si>
  <si>
    <t>Tigist Gizaw Melese</t>
  </si>
  <si>
    <t xml:space="preserve">FMS IT SOLUTION PLC </t>
  </si>
  <si>
    <t>Double Y Engineering PLC</t>
  </si>
  <si>
    <t>Ethio_ENDF</t>
  </si>
  <si>
    <t>Ketim Desalegn Telecommunication VAS</t>
  </si>
  <si>
    <t>Star Technologies PLC-8761</t>
  </si>
  <si>
    <t>PO Vas And software solutions</t>
  </si>
  <si>
    <t>FMS IT Solution-9139</t>
  </si>
  <si>
    <t>Unified Information Technologies PLC</t>
  </si>
  <si>
    <t>Has game trading PLC</t>
  </si>
  <si>
    <t>MINISTRY OF EDUCATION1</t>
  </si>
  <si>
    <t>Success trading PLC</t>
  </si>
  <si>
    <t>Bereket Belay</t>
  </si>
  <si>
    <t>XMG Business Group</t>
  </si>
  <si>
    <t>I CONIC TRADING PLC</t>
  </si>
  <si>
    <t>Abdu Seid</t>
  </si>
  <si>
    <t>Iconic Trading PLC</t>
  </si>
  <si>
    <t>Add On Mobile tech Solution</t>
  </si>
  <si>
    <t>NAPU TECHNOLOGIES SERVICE PLC</t>
  </si>
  <si>
    <t xml:space="preserve">Merima Dafo Aman VAS </t>
  </si>
  <si>
    <t>AMHARA NATIONAL REGIONAL STATE OFFICE OF THE HEAD</t>
  </si>
  <si>
    <t>Feven Eyasu</t>
  </si>
  <si>
    <t>Busa Gonofa</t>
  </si>
  <si>
    <t>MOYALE TOWN ADDIMINISTRATION</t>
  </si>
  <si>
    <t>Betelehem Yosef VAS Service</t>
  </si>
  <si>
    <t>Wendem Kalid megibare senay</t>
  </si>
  <si>
    <t>FREMNATOS ELDERS MENTALY DIS AND CHILD CHARTY ORG</t>
  </si>
  <si>
    <t>Peace technology PLC</t>
  </si>
  <si>
    <t xml:space="preserve">KURAZ TECHNOLOGIES PLC </t>
  </si>
  <si>
    <t>EDU TECH ICT Solutions PLC</t>
  </si>
  <si>
    <t>MOBILE SPIN VAS PLC-131</t>
  </si>
  <si>
    <t xml:space="preserve">feven eyasu-9609 </t>
  </si>
  <si>
    <t>3000282000007020</t>
  </si>
  <si>
    <t>MOBILE SPIN VAS PLC/ KIDIJO</t>
  </si>
  <si>
    <t>MOBILE SPIN VAS PLC/DOCUBAY</t>
  </si>
  <si>
    <t>19:6:75</t>
  </si>
  <si>
    <t>Right Tech Solution PLC</t>
  </si>
  <si>
    <t>BTK Tradition PLC</t>
  </si>
  <si>
    <t>Robe Habtamu Birhanu</t>
  </si>
  <si>
    <t>Ethiopian Olompic association</t>
  </si>
  <si>
    <t>Gamo Gofa Zone</t>
  </si>
  <si>
    <t>Go tech technology</t>
  </si>
  <si>
    <r>
      <rPr>
        <b/>
        <sz val="8"/>
        <color theme="0"/>
        <rFont val="Arial"/>
        <family val="2"/>
      </rPr>
      <t>July</t>
    </r>
    <r>
      <rPr>
        <b/>
        <sz val="8"/>
        <color theme="1"/>
        <rFont val="Arial"/>
        <family val="2"/>
      </rPr>
      <t xml:space="preserve">- </t>
    </r>
    <r>
      <rPr>
        <b/>
        <sz val="8"/>
        <color theme="0"/>
        <rFont val="Arial"/>
        <family val="2"/>
      </rPr>
      <t>2024</t>
    </r>
    <r>
      <rPr>
        <b/>
        <sz val="8"/>
        <color theme="1"/>
        <rFont val="Arial"/>
        <family val="2"/>
      </rPr>
      <t xml:space="preserve"> total Revenue</t>
    </r>
  </si>
  <si>
    <r>
      <rPr>
        <b/>
        <sz val="9"/>
        <color theme="0"/>
        <rFont val="Arial"/>
        <family val="2"/>
      </rPr>
      <t>August - 2024</t>
    </r>
    <r>
      <rPr>
        <b/>
        <sz val="8"/>
        <color theme="1"/>
        <rFont val="Arial"/>
        <family val="2"/>
      </rPr>
      <t xml:space="preserve"> total Revenue</t>
    </r>
  </si>
  <si>
    <r>
      <rPr>
        <b/>
        <sz val="9"/>
        <rFont val="Arial"/>
        <family val="2"/>
      </rPr>
      <t>New</t>
    </r>
    <r>
      <rPr>
        <b/>
        <sz val="9"/>
        <color theme="0"/>
        <rFont val="Arial"/>
        <family val="2"/>
      </rPr>
      <t xml:space="preserve"> August- 2024 </t>
    </r>
    <r>
      <rPr>
        <b/>
        <sz val="9"/>
        <rFont val="Arial"/>
        <family val="2"/>
      </rPr>
      <t>Total Revenue</t>
    </r>
  </si>
  <si>
    <t>ENAT BANK S.C.</t>
  </si>
  <si>
    <t>ETHIO LEGAL SHIELD LLP</t>
  </si>
  <si>
    <t>Bethelhem Fesehaye</t>
  </si>
  <si>
    <t>Hasset Echo School of Music_1</t>
  </si>
  <si>
    <t>Bright Vision Technology PLC</t>
  </si>
  <si>
    <t xml:space="preserve">BETE ZEMA ICT Solutions PLC </t>
  </si>
  <si>
    <t>Gabrela Girma</t>
  </si>
  <si>
    <t>Gemmechis Name</t>
  </si>
  <si>
    <t>Trade Ethiopia Commissioning</t>
  </si>
  <si>
    <t>YADESA TAYE AGIDO</t>
  </si>
  <si>
    <t>BELCASH TECHNOLOGY SOLUTION</t>
  </si>
  <si>
    <t>SMARTGREEN</t>
  </si>
  <si>
    <t>ERISTE ATINAF ASRES</t>
  </si>
  <si>
    <t>GNARO ADAMU</t>
  </si>
  <si>
    <t>SOUNDLINK TECHNOLOGIES PLC</t>
  </si>
  <si>
    <t>STAR TECHNOLOGIES PLC-9248</t>
  </si>
  <si>
    <t>Service Type</t>
  </si>
  <si>
    <r>
      <rPr>
        <b/>
        <sz val="10"/>
        <color theme="0"/>
        <rFont val="Calibri"/>
        <family val="2"/>
        <scheme val="minor"/>
      </rPr>
      <t xml:space="preserve">August </t>
    </r>
    <r>
      <rPr>
        <b/>
        <sz val="10"/>
        <color theme="1"/>
        <rFont val="Calibri"/>
        <family val="2"/>
        <scheme val="minor"/>
      </rPr>
      <t>- 2024 total Revenue</t>
    </r>
  </si>
  <si>
    <t>SD Report</t>
  </si>
  <si>
    <t>RAFM Report</t>
  </si>
  <si>
    <t>Voice-Premium</t>
  </si>
  <si>
    <t>ADIKA TAXI SERVICES PLC</t>
  </si>
  <si>
    <t>ABH M 2000 COMMISSION AGENT AND ADVERTISEMENT</t>
  </si>
  <si>
    <t>ZAYTECH IT SOLUTIONS S.C</t>
  </si>
  <si>
    <t>35% ethio telecom :65% Partner</t>
  </si>
  <si>
    <t>AWASH FM 90.7 PUBLIC CONNECTION.</t>
  </si>
  <si>
    <t>HELLO FAST MEREJA PLC</t>
  </si>
  <si>
    <t>MSS PLC. . .</t>
  </si>
  <si>
    <t>YigegnleTechnology PLC</t>
  </si>
  <si>
    <t>GET ICT SOLUTIONS PLC</t>
  </si>
  <si>
    <t>ROYD TECHS IT &amp; COMMUNICATION</t>
  </si>
  <si>
    <t>YERON TRANESPORT SERVICE PLC</t>
  </si>
  <si>
    <t>DROGA CONSULTI</t>
  </si>
  <si>
    <t>CELAVIE CHICKEN AND BURGER BAKERY AND PASTRY CAFE AND RESTAURANT</t>
  </si>
  <si>
    <t>HELLO DELALA COMMISION SERVICE PLC</t>
  </si>
  <si>
    <t>AFALAGI TRADING P.L.C</t>
  </si>
  <si>
    <t>E T S CALL CENTER</t>
  </si>
  <si>
    <t>HELLOW TENA MEREGA</t>
  </si>
  <si>
    <t>MALI BABA / Kelemua Ayalkebet Mekash</t>
  </si>
  <si>
    <t>MEBRAHTOM DANIAL AND FRINDES PRINTING AND ADVERTIZING WORK PARTNERSHIP</t>
  </si>
  <si>
    <t>Cket Technologies PLC</t>
  </si>
  <si>
    <t>MEREJA HELLO PLC.</t>
  </si>
  <si>
    <t>Shur ChanEna Awered itermedeiarg plc</t>
  </si>
  <si>
    <t>ET STRIDE CONSULTANCY ON EDUCATION</t>
  </si>
  <si>
    <t>NATIONAL MEDIA SHARE COMPANY</t>
  </si>
  <si>
    <t>LIV HEALTH CONSULTANCY AND TRAVEL PLC</t>
  </si>
  <si>
    <t>AVENIR TECHNOLOGIES PLC</t>
  </si>
  <si>
    <t>INFORMATION CENTER PLC</t>
  </si>
  <si>
    <t>SANTIM PAY FINANCIAL SOLUTIONS S.C</t>
  </si>
  <si>
    <t>STARTUPS TECHNOLOGIES PLC</t>
  </si>
  <si>
    <t>KULFO FISH TELECOM</t>
  </si>
  <si>
    <t>ENGIDA TRAVEL TECHNOLOGY PLC</t>
  </si>
  <si>
    <t>SABINA TERVEL AND VISA ADVISTORS PLC</t>
  </si>
  <si>
    <t>Masero Technologies and Advertising PLC</t>
  </si>
  <si>
    <t>SHIRSHIR ADDIS TRADING PLC</t>
  </si>
  <si>
    <t>MOD ETH OUT SOURCE PLC</t>
  </si>
  <si>
    <t>MAKE IT BUSINESS PLC</t>
  </si>
  <si>
    <t>EAGLE INFORMATION CENTER P.L.C</t>
  </si>
  <si>
    <t>SIDONA TELECOMMUNICATION VALUE ADDED SERVICE</t>
  </si>
  <si>
    <t>MIRAKA MOTOR</t>
  </si>
  <si>
    <t>EFOY PLUS TRADING PLC</t>
  </si>
  <si>
    <t>ZOBLE TECHNLOGY PLCO</t>
  </si>
  <si>
    <t>ASHEWA TECHNOLOGY SOLUTION s.c</t>
  </si>
  <si>
    <t>UNITED TRUCKING PLC</t>
  </si>
  <si>
    <t>Haniel Felagi</t>
  </si>
  <si>
    <t>RED SEA TRAVEL AGENCY</t>
  </si>
  <si>
    <t>Serdo .Com Online Market plc</t>
  </si>
  <si>
    <t>MELKAMU BAYE AGEGNEHU (NEW PATH HEALTH CARE)</t>
  </si>
  <si>
    <t>ET INCLUSIVE FINANCE TECH S.C</t>
  </si>
  <si>
    <t>JOB CENTER</t>
  </si>
  <si>
    <t>DIRE DIGITAL CARE PLC</t>
  </si>
  <si>
    <t>HELLO BEG TADING PLC</t>
  </si>
  <si>
    <t>TEBITA AMBULANCE PRE-HOSPITAL EMERGENCY MEDICAL SERVICE PLC</t>
  </si>
  <si>
    <t>HORIZON EXPRESS SERVICE PLC</t>
  </si>
  <si>
    <t>Salman Transport, store and Communication service</t>
  </si>
  <si>
    <t>Gidabo Ride City Meter Tax PLC</t>
  </si>
  <si>
    <t>TRANSSION MANUFACTURING PLC</t>
  </si>
  <si>
    <t>YIDNEKACHEW NEGALIGN CALL CENTER SERVICES</t>
  </si>
  <si>
    <t>TSA VISA TOUR AND TRAVEL PLC</t>
  </si>
  <si>
    <t>MAKUTA INTERNATIONAL CONSULTING PLC</t>
  </si>
  <si>
    <t>HULEGEB INFORMATION CENTER PLC</t>
  </si>
  <si>
    <t>GREAT KOVOD TRADING PLC</t>
  </si>
  <si>
    <t xml:space="preserve">Credoks Digital </t>
  </si>
  <si>
    <r>
      <rPr>
        <b/>
        <sz val="10"/>
        <color theme="0"/>
        <rFont val="Calibri"/>
        <family val="2"/>
        <scheme val="minor"/>
      </rPr>
      <t xml:space="preserve">August </t>
    </r>
    <r>
      <rPr>
        <b/>
        <sz val="10"/>
        <rFont val="Calibri"/>
        <family val="2"/>
        <scheme val="minor"/>
      </rPr>
      <t>-2024 total Revenue</t>
    </r>
  </si>
  <si>
    <t>To be deducted (Fraud)</t>
  </si>
  <si>
    <t>0154102000014293</t>
  </si>
  <si>
    <t>Credoks Digital Service PLC</t>
  </si>
  <si>
    <t>0154102000014294</t>
  </si>
  <si>
    <t>Ethio130YearMegaPromoAandQ01</t>
  </si>
  <si>
    <t>Ethio130YearMegaPromoAandQ02</t>
  </si>
  <si>
    <t>Ethio130YearMegaPromoAandQ04</t>
  </si>
  <si>
    <t>Ethio130YearMegaPromoAandQ05</t>
  </si>
  <si>
    <t>Ethio130YearMegaPromoAandQ06</t>
  </si>
  <si>
    <t>Modertech Telecom VAS PLC_1</t>
  </si>
  <si>
    <t>Modertech Telecom VAS PLC_2</t>
  </si>
  <si>
    <t>Modertech Telecom VAS PLC_3</t>
  </si>
  <si>
    <t>Modertech Telecom VAS PLC_4</t>
  </si>
  <si>
    <t>Modertech Telecom VAS PLC_5</t>
  </si>
  <si>
    <r>
      <rPr>
        <b/>
        <sz val="8"/>
        <color theme="0"/>
        <rFont val="Arial"/>
        <family val="2"/>
      </rPr>
      <t xml:space="preserve">Jan </t>
    </r>
    <r>
      <rPr>
        <b/>
        <sz val="8"/>
        <rFont val="Arial"/>
        <family val="2"/>
      </rPr>
      <t>-2025 total Revenue</t>
    </r>
  </si>
  <si>
    <t>Validated with RA</t>
  </si>
  <si>
    <t>Validated</t>
  </si>
  <si>
    <t>Yuniversal Marketing plc</t>
  </si>
  <si>
    <t>FANA BROADCASTING CORPORATE S.C</t>
  </si>
  <si>
    <t>OROMIA BROADCASTING NETWORK</t>
  </si>
  <si>
    <t>30:70</t>
  </si>
  <si>
    <t>Modertech Telecom VAS PLC</t>
  </si>
  <si>
    <t>Silver Spring</t>
  </si>
  <si>
    <t>ETHIOPIAN BROADCASTING CORPORATION</t>
  </si>
  <si>
    <t>Nano Technologies PLC</t>
  </si>
  <si>
    <t xml:space="preserve">One Love Broadcasting </t>
  </si>
  <si>
    <t>Addis Media Network</t>
  </si>
  <si>
    <t>Abbay Media</t>
  </si>
  <si>
    <t>SNNPRS Radio &amp;  Television Agency</t>
  </si>
  <si>
    <t>SELAM MULTI MEDIA PLC</t>
  </si>
  <si>
    <t>OYAYA MULTI MEDIA PLC</t>
  </si>
  <si>
    <t xml:space="preserve">ADAMA TOWN ADMINSTRATION </t>
  </si>
  <si>
    <t>ETHIOPIAN COMMODITY EXCHANGE</t>
  </si>
  <si>
    <t>ED STELAR PLC</t>
  </si>
  <si>
    <t>TIGRAY MASS MEDIA AGENCY</t>
  </si>
  <si>
    <t>SD New Revenue Share</t>
  </si>
  <si>
    <t>RAFM New Revenue Share</t>
  </si>
  <si>
    <t>Ethio Share (45%)</t>
  </si>
  <si>
    <t>Partner share (45%)</t>
  </si>
  <si>
    <t>37.5:62.5</t>
  </si>
  <si>
    <t>Nano Technology plc</t>
  </si>
  <si>
    <t>Go Digital Service PLC</t>
  </si>
  <si>
    <t>Playstream Interactive PLC</t>
  </si>
  <si>
    <t>0042822000002838</t>
  </si>
  <si>
    <t>30011900007129</t>
  </si>
  <si>
    <t>0156362000014526</t>
  </si>
  <si>
    <t>0151112000014518</t>
  </si>
  <si>
    <t>0133282000010590</t>
  </si>
  <si>
    <t xml:space="preserve">Ashenafi negusse/Addis Learning </t>
  </si>
  <si>
    <t>30020100007235</t>
  </si>
  <si>
    <t>Alhabek Trading plc</t>
  </si>
  <si>
    <t>30013400007196</t>
  </si>
  <si>
    <t>0154312000014335</t>
  </si>
  <si>
    <t>300100200007109</t>
  </si>
  <si>
    <t>ALL AFRICANS ENTERPRENER PLC</t>
  </si>
  <si>
    <t>300100200007101</t>
  </si>
  <si>
    <t>Techstar Technologies PLC</t>
  </si>
  <si>
    <t>0136242000012237</t>
  </si>
  <si>
    <t>0151112000014014</t>
  </si>
  <si>
    <t>30013400007172</t>
  </si>
  <si>
    <t>Hab Solution and Trading One Member plc</t>
  </si>
  <si>
    <t>0133292000010809</t>
  </si>
  <si>
    <t>30013700007213</t>
  </si>
  <si>
    <t>HOPE ENTERTAINMENT</t>
  </si>
  <si>
    <t>300069200007069</t>
  </si>
  <si>
    <t>0154222000014364</t>
  </si>
  <si>
    <t>0132732000010305</t>
  </si>
  <si>
    <t>EXCELLENT YOUTH PERSONALITY DEVELOPMENT ORG</t>
  </si>
  <si>
    <t>10: 90% Sponsorship</t>
  </si>
  <si>
    <t>300076200007076</t>
  </si>
  <si>
    <t>0133642000010805</t>
  </si>
  <si>
    <t>0104032000004911</t>
  </si>
  <si>
    <t>0156122000014514</t>
  </si>
  <si>
    <t>0151682000014136</t>
  </si>
  <si>
    <t>0157292000014747</t>
  </si>
  <si>
    <t>0109052000005588</t>
  </si>
  <si>
    <t>0154362000014357</t>
  </si>
  <si>
    <t>30017800007221</t>
  </si>
  <si>
    <t>DBR Technology PLC_Daily</t>
  </si>
  <si>
    <t>0151652000014053</t>
  </si>
  <si>
    <t>0115042000005888</t>
  </si>
  <si>
    <t>0146092000013106</t>
  </si>
  <si>
    <t>0106702000005290</t>
  </si>
  <si>
    <t>0134892000011904</t>
  </si>
  <si>
    <t>30013700007214</t>
  </si>
  <si>
    <t>HOPE ENTERTAINMENT_MUSIC</t>
  </si>
  <si>
    <t>0136142000012292</t>
  </si>
  <si>
    <t>30020200007236</t>
  </si>
  <si>
    <t>Shimmelis Abebe Megersa</t>
  </si>
  <si>
    <t>0156232000014529</t>
  </si>
  <si>
    <t>0154312000014336</t>
  </si>
  <si>
    <t>0104032000005033</t>
  </si>
  <si>
    <t>251IDEAS2</t>
  </si>
  <si>
    <t>3000112000007011</t>
  </si>
  <si>
    <t>SUCCESS TRADING PLC</t>
  </si>
  <si>
    <t>0150772000013989</t>
  </si>
  <si>
    <t>0073012000003917</t>
  </si>
  <si>
    <t>Tecido Trading plc</t>
  </si>
  <si>
    <t>30013700007216</t>
  </si>
  <si>
    <t>ALEHABEK TRADING PLC</t>
  </si>
  <si>
    <t>300100200007100</t>
  </si>
  <si>
    <t>0156832000014659</t>
  </si>
  <si>
    <t>0155452000014450</t>
  </si>
  <si>
    <t>0150732000013987</t>
  </si>
  <si>
    <t>0155462000014438</t>
  </si>
  <si>
    <t>0154192000014304</t>
  </si>
  <si>
    <t>0134782000011607</t>
  </si>
  <si>
    <t>0106762000005276</t>
  </si>
  <si>
    <t>0154382000014351</t>
  </si>
  <si>
    <t>0122072000006508</t>
  </si>
  <si>
    <t>0102132000005008</t>
  </si>
  <si>
    <t>300061200007061</t>
  </si>
  <si>
    <t>Adasha Tech Solution/ Temesgen Adugna</t>
  </si>
  <si>
    <t>0151142000014048</t>
  </si>
  <si>
    <t>Teleplay0010</t>
  </si>
  <si>
    <t>300071200007071</t>
  </si>
  <si>
    <t>Pietech VAS PLC</t>
  </si>
  <si>
    <t>0133632000010745</t>
  </si>
  <si>
    <t>0106232000005240</t>
  </si>
  <si>
    <t>0151552000014125</t>
  </si>
  <si>
    <t>Fikrie Gebeyew Telecommunication VAS</t>
  </si>
  <si>
    <t>0156062000014506</t>
  </si>
  <si>
    <t>0150632000013978</t>
  </si>
  <si>
    <t>300053200007053</t>
  </si>
  <si>
    <t>0152332000014186</t>
  </si>
  <si>
    <t>300205200007237</t>
  </si>
  <si>
    <t>The Choosen Telecommunication</t>
  </si>
  <si>
    <t>0151022000014034</t>
  </si>
  <si>
    <t>300059200007059</t>
  </si>
  <si>
    <t>0153042000014177</t>
  </si>
  <si>
    <t>300009200007013</t>
  </si>
  <si>
    <t>Tecno trande It Solution plc</t>
  </si>
  <si>
    <t>300001200007002</t>
  </si>
  <si>
    <t>0156562000014551</t>
  </si>
  <si>
    <t>300068200007068</t>
  </si>
  <si>
    <t>0151342000014031</t>
  </si>
  <si>
    <t>0151732000014058</t>
  </si>
  <si>
    <t>0152042000014097</t>
  </si>
  <si>
    <t>30013700007217</t>
  </si>
  <si>
    <t>MG ICT SOLUTION PLC</t>
  </si>
  <si>
    <t>30013500007209</t>
  </si>
  <si>
    <t>BK AUTOSPA ONE MEMBERSHIP PLC</t>
  </si>
  <si>
    <t>30012500007138</t>
  </si>
  <si>
    <t>0155552000014454</t>
  </si>
  <si>
    <t>Teleplay0004</t>
  </si>
  <si>
    <t>0133312000012908</t>
  </si>
  <si>
    <t>0151312000014030</t>
  </si>
  <si>
    <t>0152432000014172</t>
  </si>
  <si>
    <t>0151542000014042</t>
  </si>
  <si>
    <t>0151702000014077</t>
  </si>
  <si>
    <t>0151972000014087</t>
  </si>
  <si>
    <t>0155572000014482</t>
  </si>
  <si>
    <t>300066200007066</t>
  </si>
  <si>
    <t>ELU STAR TRADING PLC</t>
  </si>
  <si>
    <t>0156682000014718</t>
  </si>
  <si>
    <t>300097200007097</t>
  </si>
  <si>
    <t>30019200007236</t>
  </si>
  <si>
    <t>Zemen Technology PLC</t>
  </si>
  <si>
    <t>0156692000014719</t>
  </si>
  <si>
    <t>0155552000014453</t>
  </si>
  <si>
    <t>0150932000014039</t>
  </si>
  <si>
    <t>30011900007133</t>
  </si>
  <si>
    <t>0152372000014181</t>
  </si>
  <si>
    <t>0157152000014717</t>
  </si>
  <si>
    <t xml:space="preserve">Blue Line IT solution </t>
  </si>
  <si>
    <t>0150182000013984</t>
  </si>
  <si>
    <t>teleBeat0004</t>
  </si>
  <si>
    <t>0156442000014547</t>
  </si>
  <si>
    <t>Wilu Technologies PLC/Omega Engineering PLC</t>
  </si>
  <si>
    <t>0156992000014665</t>
  </si>
  <si>
    <t>0155232000014397</t>
  </si>
  <si>
    <t>3000172000007017</t>
  </si>
  <si>
    <t>0156592000014586</t>
  </si>
  <si>
    <t>0151532000014072</t>
  </si>
  <si>
    <t>3000282000007028</t>
  </si>
  <si>
    <t>Cozy Net computer and related work plc</t>
  </si>
  <si>
    <t>0152402000014137</t>
  </si>
  <si>
    <t>0154622000014365</t>
  </si>
  <si>
    <t>0156572000014603</t>
  </si>
  <si>
    <t>0151182000014011</t>
  </si>
  <si>
    <t>0153462000014205</t>
  </si>
  <si>
    <t>3000132000007013</t>
  </si>
  <si>
    <t>3000122000007012</t>
  </si>
  <si>
    <t>300067200007067</t>
  </si>
  <si>
    <t>0155132000014399</t>
  </si>
  <si>
    <t>0153382000014188</t>
  </si>
  <si>
    <t>3000232000007023</t>
  </si>
  <si>
    <t>300093200007093</t>
  </si>
  <si>
    <t>0151712000014056</t>
  </si>
  <si>
    <t>0134492000011225</t>
  </si>
  <si>
    <t>0136732000012909</t>
  </si>
  <si>
    <t>300100200007128</t>
  </si>
  <si>
    <t>300006200007010</t>
  </si>
  <si>
    <t>0153472000014206</t>
  </si>
  <si>
    <t>0152382000014180</t>
  </si>
  <si>
    <t>0152362000014184</t>
  </si>
  <si>
    <t>0133642000010806</t>
  </si>
  <si>
    <t>0133652000010965</t>
  </si>
  <si>
    <t>300054200007054</t>
  </si>
  <si>
    <t>0107192000005395</t>
  </si>
  <si>
    <t>0152322000014139</t>
  </si>
  <si>
    <t>Teleplay0006</t>
  </si>
  <si>
    <t>0111052000006648</t>
  </si>
  <si>
    <t>0157742000014826</t>
  </si>
  <si>
    <t>0156652000014602</t>
  </si>
  <si>
    <t>0155802000014468</t>
  </si>
  <si>
    <t>Teleplay0009</t>
  </si>
  <si>
    <t>0155012000014388</t>
  </si>
  <si>
    <t>0155632000014487</t>
  </si>
  <si>
    <t>0152502000014135</t>
  </si>
  <si>
    <t>300042200007042</t>
  </si>
  <si>
    <t>0153242000014191</t>
  </si>
  <si>
    <t>0152342000014182</t>
  </si>
  <si>
    <t>Teleplay0005</t>
  </si>
  <si>
    <t>0151022000014527</t>
  </si>
  <si>
    <t>300060200007060</t>
  </si>
  <si>
    <t>30021900007251</t>
  </si>
  <si>
    <t>BYG PLC</t>
  </si>
  <si>
    <t>Teleplay0007</t>
  </si>
  <si>
    <t>0152352000014140</t>
  </si>
  <si>
    <t>0151032000014021</t>
  </si>
  <si>
    <t>0152012000014209</t>
  </si>
  <si>
    <t>HELLO MEREJA PLC</t>
  </si>
  <si>
    <t>300100200007111</t>
  </si>
  <si>
    <t>Solomon Abebe Beyene</t>
  </si>
  <si>
    <t>300100200007107</t>
  </si>
  <si>
    <t>BA ICT SOLUTIONS PLC</t>
  </si>
  <si>
    <t>30013400007183</t>
  </si>
  <si>
    <t>ALHABEK TRADING PLC</t>
  </si>
  <si>
    <t>teleBeat0006</t>
  </si>
  <si>
    <t>0151542000014530</t>
  </si>
  <si>
    <t>300004200007005</t>
  </si>
  <si>
    <t>30013700007212</t>
  </si>
  <si>
    <t>BST Media PLC</t>
  </si>
  <si>
    <t>Teleplay0008</t>
  </si>
  <si>
    <t>0148112000013330</t>
  </si>
  <si>
    <t>0154282000014328</t>
  </si>
  <si>
    <t>0154652000014387</t>
  </si>
  <si>
    <t>300007200007010</t>
  </si>
  <si>
    <t>0153362000014281</t>
  </si>
  <si>
    <t>Alhabek Trading PLC</t>
  </si>
  <si>
    <t>0157002000014713</t>
  </si>
  <si>
    <t>300080200007080</t>
  </si>
  <si>
    <t>FALCON TECH SOLUTIONS PLC</t>
  </si>
  <si>
    <t>30022400007261</t>
  </si>
  <si>
    <t>Superior Technology PLC</t>
  </si>
  <si>
    <t>0150252000013969</t>
  </si>
  <si>
    <t>300000200007001</t>
  </si>
  <si>
    <t>MELONI VAS</t>
  </si>
  <si>
    <t>0151512000014110</t>
  </si>
  <si>
    <t>0153772000014239</t>
  </si>
  <si>
    <t>0150982000013999</t>
  </si>
  <si>
    <t>0150742000014020</t>
  </si>
  <si>
    <t>0156312000014535</t>
  </si>
  <si>
    <t>0156962000014710</t>
  </si>
  <si>
    <t>0150922000014038</t>
  </si>
  <si>
    <t>3000272000007027</t>
  </si>
  <si>
    <t>Meseret Gachena</t>
  </si>
  <si>
    <t>300034200007034</t>
  </si>
  <si>
    <t>0156072000014504</t>
  </si>
  <si>
    <t>0153932000014271</t>
  </si>
  <si>
    <t>30017800007222</t>
  </si>
  <si>
    <t>DBR Technology PLC_Weekly</t>
  </si>
  <si>
    <t>300052200007052</t>
  </si>
  <si>
    <t>0150892000014076</t>
  </si>
  <si>
    <t>30019400007238</t>
  </si>
  <si>
    <t>0156902000014658</t>
  </si>
  <si>
    <t>0150602000013972</t>
  </si>
  <si>
    <t>300093200007094</t>
  </si>
  <si>
    <t>30017800007223</t>
  </si>
  <si>
    <t>DBR Technology PLC_Monthly</t>
  </si>
  <si>
    <t>0156642000014589</t>
  </si>
  <si>
    <t>30022800007275</t>
  </si>
  <si>
    <t>SER State office of the prisedant</t>
  </si>
  <si>
    <t>300050200007050</t>
  </si>
  <si>
    <t>300003200007004</t>
  </si>
  <si>
    <t>0156782000014648</t>
  </si>
  <si>
    <t>0156812000014722</t>
  </si>
  <si>
    <t>ZUZI COMMUNICATION TECHNOLOGY PLC</t>
  </si>
  <si>
    <t>0156422000014548</t>
  </si>
  <si>
    <t>0156212000014533</t>
  </si>
  <si>
    <t>300088200007088</t>
  </si>
  <si>
    <t>MULUGETA ABERA</t>
  </si>
  <si>
    <t>30013400007193</t>
  </si>
  <si>
    <t>VISION TECH TRADING ONE MEMBER PLC</t>
  </si>
  <si>
    <t>30021600007248</t>
  </si>
  <si>
    <t>Melihik Technology plce</t>
  </si>
  <si>
    <t>300051200007051</t>
  </si>
  <si>
    <t>300029200007029</t>
  </si>
  <si>
    <t>ART meda Trading Plc</t>
  </si>
  <si>
    <t>30013400007156</t>
  </si>
  <si>
    <t>ROBE HABTAMU BIRHANU</t>
  </si>
  <si>
    <t>30021200007244</t>
  </si>
  <si>
    <t>DEWAY CALL CENTER AND VAS PLC</t>
  </si>
  <si>
    <t>30012500007139</t>
  </si>
  <si>
    <t>0156882000014654</t>
  </si>
  <si>
    <t>015164200007015</t>
  </si>
  <si>
    <t>30013700007215</t>
  </si>
  <si>
    <t>300100200007112</t>
  </si>
  <si>
    <t>XMG Business Group PLC</t>
  </si>
  <si>
    <t>0154222000014493</t>
  </si>
  <si>
    <t>teleBeat0010</t>
  </si>
  <si>
    <t>0151082000014037</t>
  </si>
  <si>
    <t>MT ICT TECHNOLOGY PLC</t>
  </si>
  <si>
    <t>30013400007151</t>
  </si>
  <si>
    <t>0151642000014041</t>
  </si>
  <si>
    <t>0155532000014451</t>
  </si>
  <si>
    <t>30013400007194</t>
  </si>
  <si>
    <t>ASPIRE UTOPIA SOLUTIONS</t>
  </si>
  <si>
    <t>0155272000014403</t>
  </si>
  <si>
    <t>300100200007102</t>
  </si>
  <si>
    <t>300021200007021</t>
  </si>
  <si>
    <t>0151222000014029</t>
  </si>
  <si>
    <t>0154222000014492</t>
  </si>
  <si>
    <t>0154222000014490</t>
  </si>
  <si>
    <t>3000262000007026</t>
  </si>
  <si>
    <t>FIKADE GACHENA</t>
  </si>
  <si>
    <t>0155732000014484</t>
  </si>
  <si>
    <t>OK SMS</t>
  </si>
  <si>
    <t>30013400007152</t>
  </si>
  <si>
    <t>300100200007104</t>
  </si>
  <si>
    <t>300100200007110</t>
  </si>
  <si>
    <t>30013400007171</t>
  </si>
  <si>
    <t>teleBeat0008</t>
  </si>
  <si>
    <t>30022000007255</t>
  </si>
  <si>
    <t>Tec MED Revolution</t>
  </si>
  <si>
    <t>teleBeat0009</t>
  </si>
  <si>
    <t>30015500007189</t>
  </si>
  <si>
    <t>Communication and Marketing PLC</t>
  </si>
  <si>
    <t>30012500007140</t>
  </si>
  <si>
    <t>KURAZ TECHNOLOGIES PLC</t>
  </si>
  <si>
    <t>30013400007206</t>
  </si>
  <si>
    <t>0155752000014470</t>
  </si>
  <si>
    <t>MIND SET SHORT MASAGE SERVICE</t>
  </si>
  <si>
    <t>30011900007131</t>
  </si>
  <si>
    <t>30012800007146</t>
  </si>
  <si>
    <t>TECH VAS TELECOMUNICATION VALUE ADDED SERVICE</t>
  </si>
  <si>
    <t>300100200007103</t>
  </si>
  <si>
    <t>0153492000014207</t>
  </si>
  <si>
    <t>300207200007239</t>
  </si>
  <si>
    <t>Tebeb Digital Service plc</t>
  </si>
  <si>
    <t>0157122000014715</t>
  </si>
  <si>
    <t>Napu Technology Services</t>
  </si>
  <si>
    <t>0157042000014712</t>
  </si>
  <si>
    <t>30021300007245</t>
  </si>
  <si>
    <t>MATRIX TECHONOGY PLC </t>
  </si>
  <si>
    <t>0152202000014113</t>
  </si>
  <si>
    <t>300047200007049</t>
  </si>
  <si>
    <t>0135702000011986</t>
  </si>
  <si>
    <t>30022500007262</t>
  </si>
  <si>
    <t>30013400007173</t>
  </si>
  <si>
    <t>TECHVIEW DIGITAL SERVICE PLC</t>
  </si>
  <si>
    <t>300100200007116</t>
  </si>
  <si>
    <t>NAPU</t>
  </si>
  <si>
    <t>30015500007190</t>
  </si>
  <si>
    <t>30015500007191</t>
  </si>
  <si>
    <t>251Communication And marketing plc</t>
  </si>
  <si>
    <t>30017800007224</t>
  </si>
  <si>
    <t>HYPER INFO TECH TECHNOLOGY-8452</t>
  </si>
  <si>
    <t>0150392000013958</t>
  </si>
  <si>
    <t>30011900007134</t>
  </si>
  <si>
    <t>0157032000014708</t>
  </si>
  <si>
    <t>ICONNECT</t>
  </si>
  <si>
    <t>30013400007179</t>
  </si>
  <si>
    <t>300065200007065</t>
  </si>
  <si>
    <t>0156412000014534</t>
  </si>
  <si>
    <t>30020400007238</t>
  </si>
  <si>
    <t>Techmaster</t>
  </si>
  <si>
    <t>30022200007257</t>
  </si>
  <si>
    <t>GIG Trading</t>
  </si>
  <si>
    <t>30022200007259</t>
  </si>
  <si>
    <t>30021700007249</t>
  </si>
  <si>
    <t>Vision Tech Trading</t>
  </si>
  <si>
    <t>30022200007258</t>
  </si>
  <si>
    <t>30021400007246</t>
  </si>
  <si>
    <t>Circles Technology</t>
  </si>
  <si>
    <t>30019300007237</t>
  </si>
  <si>
    <t>Lekene One Member PLC</t>
  </si>
  <si>
    <t>300206200007238</t>
  </si>
  <si>
    <t>Roja Solutions PLC</t>
  </si>
  <si>
    <t>30021700007265</t>
  </si>
  <si>
    <t>30021800007250</t>
  </si>
  <si>
    <t>EFHOI Ethio Family Health PLC</t>
  </si>
  <si>
    <t>30021700007264</t>
  </si>
  <si>
    <t>30023000007279</t>
  </si>
  <si>
    <t>Beshatu Tolemariam Terefe</t>
  </si>
  <si>
    <t>30022600007273</t>
  </si>
  <si>
    <t>Zemen Technologies PLC</t>
  </si>
  <si>
    <t>30011900007277</t>
  </si>
  <si>
    <t>30011900007276</t>
  </si>
  <si>
    <t>0151072000014009</t>
  </si>
  <si>
    <t>30013400007185</t>
  </si>
  <si>
    <t>30021900007271</t>
  </si>
  <si>
    <t>30022300007260</t>
  </si>
  <si>
    <t>MELAKU W/MICHAEL</t>
  </si>
  <si>
    <t>30023100007280</t>
  </si>
  <si>
    <t>30023300007283</t>
  </si>
  <si>
    <t>30023600007286</t>
  </si>
  <si>
    <t>YISAKOR Trading PLC</t>
  </si>
  <si>
    <t>FEVEN EYASU ACHAW / interior Design</t>
  </si>
  <si>
    <t>0136912000012413</t>
  </si>
  <si>
    <t>0151272000014027</t>
  </si>
  <si>
    <t>0151092000014023</t>
  </si>
  <si>
    <t>30023500007285</t>
  </si>
  <si>
    <t>Brote Tich Trading Plc</t>
  </si>
  <si>
    <t>30023800007287</t>
  </si>
  <si>
    <t xml:space="preserve">SkyKin Technologies  plc </t>
  </si>
  <si>
    <t>30024600007305</t>
  </si>
  <si>
    <t>30024600007307</t>
  </si>
  <si>
    <t>1572900007302</t>
  </si>
  <si>
    <t>30024600007306</t>
  </si>
  <si>
    <t>30024400007303</t>
  </si>
  <si>
    <t>30024100007292</t>
  </si>
  <si>
    <t>28.5:9:62.5</t>
  </si>
  <si>
    <t>38.5:9:52.5</t>
  </si>
  <si>
    <t>21:9:70</t>
  </si>
  <si>
    <t>31:9:60</t>
  </si>
  <si>
    <t>36:9:55</t>
  </si>
  <si>
    <t>3 Birr /60 % from 5 birr daily subscribution for ethio telecom for data and the remaining 38.5%:9% : 52.5%</t>
  </si>
  <si>
    <t>23.5:9:67.5</t>
  </si>
  <si>
    <t>Ashenafi Nigussie Teklu</t>
  </si>
  <si>
    <t>Nebil Samuel Edasu</t>
  </si>
  <si>
    <t>Hahu Tech Café PLC</t>
  </si>
  <si>
    <t>30013600007211</t>
  </si>
  <si>
    <t>Alicome Trading PLC</t>
  </si>
  <si>
    <t>300210200007242</t>
  </si>
  <si>
    <t>Jegol Technology One Member PLC</t>
  </si>
  <si>
    <t>30023900007288</t>
  </si>
  <si>
    <t>Gizuf Digital Service PLC</t>
  </si>
  <si>
    <t>30024100007293</t>
  </si>
  <si>
    <t>30024100007294</t>
  </si>
  <si>
    <t>30024100007295</t>
  </si>
  <si>
    <t>30024100007296</t>
  </si>
  <si>
    <t>30024100007297</t>
  </si>
  <si>
    <t>30024100007298</t>
  </si>
  <si>
    <t>30024100007299</t>
  </si>
  <si>
    <t>30024300007301</t>
  </si>
  <si>
    <t>New Rise Technology PLC</t>
  </si>
  <si>
    <t>30024600007308</t>
  </si>
  <si>
    <t>30024700007308</t>
  </si>
  <si>
    <t>RIMARTSCHOOL.COM</t>
  </si>
  <si>
    <t xml:space="preserve">Go digital Service </t>
  </si>
  <si>
    <t>Playstream Interactive PLC(victory play)</t>
  </si>
  <si>
    <t>38.5:09:52.5</t>
  </si>
  <si>
    <t>Chartered Advisory Service PLC(Maya)</t>
  </si>
  <si>
    <t>300056200007056</t>
  </si>
  <si>
    <t>30017200007312</t>
  </si>
  <si>
    <t>Alicom Trading PLC</t>
  </si>
  <si>
    <t>30019500007239</t>
  </si>
  <si>
    <t>30023900007289</t>
  </si>
  <si>
    <t>30025000007311</t>
  </si>
  <si>
    <t>SNAPWRE Technologies plc</t>
  </si>
  <si>
    <t>30019600007240</t>
  </si>
  <si>
    <t>30022500007263</t>
  </si>
  <si>
    <t>Mobile Spin VAS PLC (WinnersHub)</t>
  </si>
  <si>
    <t>30023900007290</t>
  </si>
  <si>
    <t>30025300007317</t>
  </si>
  <si>
    <t>KIMA Multimedia Production One Member</t>
  </si>
  <si>
    <t>30025500007319</t>
  </si>
  <si>
    <t>Abol Technology </t>
  </si>
  <si>
    <r>
      <rPr>
        <b/>
        <sz val="8"/>
        <color theme="0"/>
        <rFont val="Arial"/>
        <family val="2"/>
      </rPr>
      <t xml:space="preserve">April </t>
    </r>
    <r>
      <rPr>
        <b/>
        <sz val="8"/>
        <color theme="1"/>
        <rFont val="Arial"/>
        <family val="2"/>
      </rPr>
      <t xml:space="preserve">- </t>
    </r>
    <r>
      <rPr>
        <b/>
        <sz val="8"/>
        <color theme="0"/>
        <rFont val="Arial"/>
        <family val="2"/>
      </rPr>
      <t>2026</t>
    </r>
    <r>
      <rPr>
        <b/>
        <sz val="8"/>
        <color theme="1"/>
        <rFont val="Arial"/>
        <family val="2"/>
      </rPr>
      <t xml:space="preserve"> total Revenue</t>
    </r>
  </si>
  <si>
    <t>Digital Virgo Technology Solution PLC(Etio arena)</t>
  </si>
  <si>
    <t>Digital Virgo (Youscribe )</t>
  </si>
  <si>
    <t>Chartered Advisory Service PLC (Vstu)</t>
  </si>
  <si>
    <t>Chartered Advisory Service PLC (Maya)</t>
  </si>
  <si>
    <t>Shedeli Trading PLC(Tele drive )</t>
  </si>
  <si>
    <t>40:60</t>
  </si>
  <si>
    <t>26:9:65</t>
  </si>
  <si>
    <t>Shedeli Trading PLC (Game )</t>
  </si>
  <si>
    <t>30024800007309</t>
  </si>
  <si>
    <t>AL Habesha Media &amp; Communication</t>
  </si>
  <si>
    <t>30025800007326</t>
  </si>
  <si>
    <t>Kings Gate Yelemtena Bego Aderagot </t>
  </si>
  <si>
    <t>30024300007316</t>
  </si>
  <si>
    <t>30024300007315</t>
  </si>
  <si>
    <t>New Rise Technology</t>
  </si>
  <si>
    <t>30026200007336</t>
  </si>
  <si>
    <t>Kalem Trading </t>
  </si>
  <si>
    <t>30025200007314</t>
  </si>
  <si>
    <t>AHT NET &amp; ICT Solutions PLC</t>
  </si>
  <si>
    <t>30026200007330</t>
  </si>
  <si>
    <t>30025900007327</t>
  </si>
  <si>
    <t>Natanet Integration &amp; Trade of Technology</t>
  </si>
  <si>
    <r>
      <t>April- 2026</t>
    </r>
    <r>
      <rPr>
        <b/>
        <sz val="8"/>
        <color theme="1"/>
        <rFont val="Arial"/>
        <family val="2"/>
      </rPr>
      <t xml:space="preserve"> total Revenue</t>
    </r>
  </si>
  <si>
    <t>0057152000003854</t>
  </si>
  <si>
    <t>0134232000011026</t>
  </si>
  <si>
    <t>0104952000005109</t>
  </si>
  <si>
    <t>0152442000014123</t>
  </si>
  <si>
    <t>0150142000013949</t>
  </si>
  <si>
    <t>0066042000003776</t>
  </si>
  <si>
    <t>0100322000004412</t>
  </si>
  <si>
    <t>0059112000003522</t>
  </si>
  <si>
    <t>30021800007266</t>
  </si>
  <si>
    <t>Hidassie Gidib</t>
  </si>
  <si>
    <t>0106052000005133</t>
  </si>
  <si>
    <t>6832/6831</t>
  </si>
  <si>
    <t>0154142000014296</t>
  </si>
  <si>
    <t>0130152000009606</t>
  </si>
  <si>
    <t>0150022000013937</t>
  </si>
  <si>
    <t>0152542000014130</t>
  </si>
  <si>
    <t>0129232000009403</t>
  </si>
  <si>
    <t>0101122000004631</t>
  </si>
  <si>
    <t>0100042000004311</t>
  </si>
  <si>
    <t>0100572000004465</t>
  </si>
  <si>
    <t>0046022000003040</t>
  </si>
  <si>
    <t>0132622000012969</t>
  </si>
  <si>
    <t>0087062000004120</t>
  </si>
  <si>
    <t>0150582000013966</t>
  </si>
  <si>
    <t>0092002000004174</t>
  </si>
  <si>
    <t>VASMAS TRADING PLC</t>
  </si>
  <si>
    <t>0129262000009408</t>
  </si>
  <si>
    <t>0100632000004478</t>
  </si>
  <si>
    <t>6615/6617</t>
  </si>
  <si>
    <t>MOHAMMED A ABDULRAHMAN</t>
  </si>
  <si>
    <t>0148232000013428</t>
  </si>
  <si>
    <t>0134622000011287</t>
  </si>
  <si>
    <t>0132152000010007</t>
  </si>
  <si>
    <t>0126952000008428</t>
  </si>
  <si>
    <t>0128432000009047</t>
  </si>
  <si>
    <t>0100352000004431</t>
  </si>
  <si>
    <t>0046022000002999</t>
  </si>
  <si>
    <t>0104062000005062</t>
  </si>
  <si>
    <t>0106432000005204</t>
  </si>
  <si>
    <t>0155482000014445</t>
  </si>
  <si>
    <t>0135482000011897</t>
  </si>
  <si>
    <t>7336/7334</t>
  </si>
  <si>
    <t>0100052000004314</t>
  </si>
  <si>
    <t>0136332000012267</t>
  </si>
  <si>
    <t>7831/7040</t>
  </si>
  <si>
    <t>0104642000005055</t>
  </si>
  <si>
    <t>EKO PLUS IT TECHNOLOGY PLC</t>
  </si>
  <si>
    <t>0096002000004237</t>
  </si>
  <si>
    <t>0154372000014342</t>
  </si>
  <si>
    <t>9827/7855</t>
  </si>
  <si>
    <t>0145522000012977</t>
  </si>
  <si>
    <t>0148882000013628</t>
  </si>
  <si>
    <t>0146002000013076</t>
  </si>
  <si>
    <t>0152052000014090</t>
  </si>
  <si>
    <t>0104642000005053</t>
  </si>
  <si>
    <t>0136722000012336</t>
  </si>
  <si>
    <t>0134822000011428</t>
  </si>
  <si>
    <t>0134432000011165</t>
  </si>
  <si>
    <t>30018200007227</t>
  </si>
  <si>
    <t>MASTER ABINET KEBEDE FOUNDATION</t>
  </si>
  <si>
    <t>0130092000009594</t>
  </si>
  <si>
    <t>0100562000004469</t>
  </si>
  <si>
    <t>0143032000012494</t>
  </si>
  <si>
    <t>0128172000008808</t>
  </si>
  <si>
    <t>30013400007188</t>
  </si>
  <si>
    <t>30020300007237</t>
  </si>
  <si>
    <t>8208/8183</t>
  </si>
  <si>
    <t>Kalen Benalafle 1</t>
  </si>
  <si>
    <t>0136272000012246</t>
  </si>
  <si>
    <t>300209200007241</t>
  </si>
  <si>
    <t>EOTC Child and family affairs organization</t>
  </si>
  <si>
    <t>0157862000014885</t>
  </si>
  <si>
    <t>0128192000008804</t>
  </si>
  <si>
    <t>BLUE LINE  IT SOLUTION PLC</t>
  </si>
  <si>
    <t>0048072000003051</t>
  </si>
  <si>
    <t>UTOPIA TECHNOLOGY PLC</t>
  </si>
  <si>
    <t>0104042000005429</t>
  </si>
  <si>
    <t>0121292000006470</t>
  </si>
  <si>
    <t>0042622000002745</t>
  </si>
  <si>
    <t>0101022000004568</t>
  </si>
  <si>
    <t>30020000007234</t>
  </si>
  <si>
    <t>Abebech Gobena</t>
  </si>
  <si>
    <t>0042462000002819</t>
  </si>
  <si>
    <t>0145362000012947</t>
  </si>
  <si>
    <t>0136752000012342</t>
  </si>
  <si>
    <t>0128182000008810</t>
  </si>
  <si>
    <t>30022700007274</t>
  </si>
  <si>
    <t>Gurage lemat</t>
  </si>
  <si>
    <t>0153342000014178</t>
  </si>
  <si>
    <t>0059352000003569</t>
  </si>
  <si>
    <t>0042682000002758</t>
  </si>
  <si>
    <t>0121152000006408</t>
  </si>
  <si>
    <t>0042642000004054</t>
  </si>
  <si>
    <t>0106562000005244</t>
  </si>
  <si>
    <t>30021500007247</t>
  </si>
  <si>
    <t>GIVE WATER</t>
  </si>
  <si>
    <t>0135202000011668</t>
  </si>
  <si>
    <t>0151782000014061</t>
  </si>
  <si>
    <t>0135452000011893</t>
  </si>
  <si>
    <t>0145102000012889</t>
  </si>
  <si>
    <t>0134802000011405</t>
  </si>
  <si>
    <t>0127012000008488</t>
  </si>
  <si>
    <t>0130082000009596</t>
  </si>
  <si>
    <t>30023400007284</t>
  </si>
  <si>
    <t>URA TECHNOLOGIES PLC</t>
  </si>
  <si>
    <t>30024000007291</t>
  </si>
  <si>
    <t>ADDIS MUSIC MULTI MEDIA PLC</t>
  </si>
  <si>
    <t>30024200007300</t>
  </si>
  <si>
    <t>0144642000012746</t>
  </si>
  <si>
    <t>AFRU FILM PROMOTION ENTERTAIMENT</t>
  </si>
  <si>
    <t>30021800007267</t>
  </si>
  <si>
    <t>30021800007268</t>
  </si>
  <si>
    <t>30021800007270</t>
  </si>
  <si>
    <t>30025100007313</t>
  </si>
  <si>
    <t>Alicom Trading plc</t>
  </si>
  <si>
    <t>30025600007320</t>
  </si>
  <si>
    <t>WOLAITTA DEVELOPMENT ASSOCIATION</t>
  </si>
  <si>
    <t>30025600007321</t>
  </si>
  <si>
    <t>30025600007322</t>
  </si>
  <si>
    <t>30025600007323</t>
  </si>
  <si>
    <t>30025600007324</t>
  </si>
  <si>
    <t>SP Code</t>
  </si>
  <si>
    <r>
      <rPr>
        <b/>
        <sz val="10"/>
        <color theme="0"/>
        <rFont val="Arial"/>
        <family val="2"/>
      </rPr>
      <t xml:space="preserve">Mar - </t>
    </r>
    <r>
      <rPr>
        <b/>
        <sz val="10"/>
        <color theme="1"/>
        <rFont val="Arial"/>
        <family val="2"/>
      </rPr>
      <t xml:space="preserve"> 2026 CRBT REVENUE</t>
    </r>
  </si>
  <si>
    <t>Monthly Rent</t>
  </si>
  <si>
    <t>Tone Sales</t>
  </si>
  <si>
    <t>35% Partners Share</t>
  </si>
  <si>
    <t>Hikmaplc</t>
  </si>
  <si>
    <t>Rahel Hail</t>
  </si>
  <si>
    <t>Egresse</t>
  </si>
  <si>
    <t>Sami Zenebe Mulate</t>
  </si>
  <si>
    <t>Bright Family</t>
  </si>
  <si>
    <t>Raya Jemal Haji</t>
  </si>
  <si>
    <t>SEADA TAHIR AHMED</t>
  </si>
  <si>
    <t>Ketim Desalegn Benti</t>
  </si>
  <si>
    <t>THE CHOSEN TELECOMUNICATION VALUE ADDED SERVICE</t>
  </si>
  <si>
    <t>MD VAS Company</t>
  </si>
  <si>
    <t>Maya press work film production Advertising PLC</t>
  </si>
  <si>
    <t>Sebsebe Abebe</t>
  </si>
  <si>
    <t>Tazima Entertainment PLC</t>
  </si>
  <si>
    <t>Anwar Temam Aragaw</t>
  </si>
  <si>
    <t>NANSI VAS TECHNOLOGIES</t>
  </si>
  <si>
    <t>Africana Trading PLC</t>
  </si>
  <si>
    <t>Salim Awod</t>
  </si>
  <si>
    <t>QUALI BER ENTERTAIMENT PLC</t>
  </si>
  <si>
    <t>Betelehem Fasil</t>
  </si>
  <si>
    <t>Geleta Tahir Ahmed</t>
  </si>
  <si>
    <t>EGOL TRADINFG PLC</t>
  </si>
  <si>
    <t>Abebech Dera</t>
  </si>
  <si>
    <t>SHALOM TELECOM ENGINEERING</t>
  </si>
  <si>
    <t>BIRA MULATU TESSEMA</t>
  </si>
  <si>
    <t>DAYNAMIC DIGITAL TECHINOLOGY PLC</t>
  </si>
  <si>
    <t>Starlight Trade</t>
  </si>
  <si>
    <t>National Entertainment</t>
  </si>
  <si>
    <t>Enlight</t>
  </si>
  <si>
    <t>Had Mela Tech Vas</t>
  </si>
  <si>
    <t>Abdurahman hussen abdella</t>
  </si>
  <si>
    <t>PRIME COM TECHNOLOGIES PLC</t>
  </si>
  <si>
    <t>HUMBLE MUSIC PRODUCTION</t>
  </si>
  <si>
    <t>Nezifa Abdurezaq</t>
  </si>
  <si>
    <t>IYASU NIGATU GONFA TELECOMMUNICATION VALUE ADDED SERVICE</t>
  </si>
  <si>
    <t>Abyssinia Telecommunication VAS</t>
  </si>
  <si>
    <t>HABTAMU BEKELE VAS</t>
  </si>
  <si>
    <t>Elora Trading PLC</t>
  </si>
  <si>
    <t>KOKET VAS TRADING PLC</t>
  </si>
  <si>
    <t>Linkedu</t>
  </si>
  <si>
    <t>Tigist Gizaw</t>
  </si>
  <si>
    <t>ElsabetTefaye</t>
  </si>
  <si>
    <t>Gemechis Almadi Wadajo</t>
  </si>
  <si>
    <t>HIWOT TIZAZU TILAHUN</t>
  </si>
  <si>
    <t>Zarihun Seyifu Balcha</t>
  </si>
  <si>
    <t>GEMECHIS TOLESA TELECOMMUNICATION VALUE ADDED SERVICE</t>
  </si>
  <si>
    <t>Raji Abdisa Wolde</t>
  </si>
  <si>
    <t>BLEH ENTERTAINMENT PLC</t>
  </si>
  <si>
    <t>HULE ADDIS VAS</t>
  </si>
  <si>
    <t>MULETA HUSEN Telecommunication Value Added Service</t>
  </si>
  <si>
    <t>Elroi Solutions Telecommunication</t>
  </si>
  <si>
    <t>Ayantu Asfaw</t>
  </si>
  <si>
    <t>OnPoint General Trading</t>
  </si>
  <si>
    <t>TOLA ZELEKE WODAJO</t>
  </si>
  <si>
    <t>Mergitu Belina</t>
  </si>
  <si>
    <t>WINNER VAS TECHNOLOGY</t>
  </si>
  <si>
    <t>Alphanet Solution PLC</t>
  </si>
  <si>
    <t>HG Entertainment</t>
  </si>
  <si>
    <t>Fanose Dejene VAS</t>
  </si>
  <si>
    <t>Washera Entertainment PLC</t>
  </si>
  <si>
    <t>Bilisuma Oneta Gurum</t>
  </si>
  <si>
    <t>Diro Kebebe Bedushe</t>
  </si>
  <si>
    <t>Betelehem Yosef Hailu</t>
  </si>
  <si>
    <t>Habtamu Asefa Gashawu</t>
  </si>
  <si>
    <t>Haregwoyenie Zemedkun Foreketa</t>
  </si>
  <si>
    <t>DURSA ENTERTAINMENT PLC</t>
  </si>
  <si>
    <t>Solomon Begna Dhunfa</t>
  </si>
  <si>
    <t>Ahmednejash Mohammed Ibrahim</t>
  </si>
  <si>
    <t>URGECHA BEDADA DEBELE</t>
  </si>
  <si>
    <t>The Future of the Generation</t>
  </si>
  <si>
    <t>Abduselam Abdula Shankle</t>
  </si>
  <si>
    <t>REFISA DEREJE FEYISA VALUE ADDED SERVICE</t>
  </si>
  <si>
    <t>Segni Bekele Homa</t>
  </si>
  <si>
    <t>Jengo Entertainment Plc</t>
  </si>
  <si>
    <t>21 Records</t>
  </si>
  <si>
    <t>Burtukan Gelana Ergosa</t>
  </si>
  <si>
    <t>Girmachew Wudu Muchie</t>
  </si>
  <si>
    <t>Kaku Zerihun</t>
  </si>
  <si>
    <t>Adey Tesfaye Gebremichael</t>
  </si>
  <si>
    <t>ABAYU ZEWDE NEGASH</t>
  </si>
  <si>
    <t>Abem Tech Ict Plc</t>
  </si>
  <si>
    <t>Negarit Multimedia</t>
  </si>
  <si>
    <t>Awod Salem</t>
  </si>
  <si>
    <t>MELODY VALUE ADDED SERVICE</t>
  </si>
  <si>
    <t>SORARDI PLC</t>
  </si>
  <si>
    <t>Yh Entertainment</t>
  </si>
  <si>
    <t>TEC CRBT PLC</t>
  </si>
  <si>
    <t>Luban Trading plc</t>
  </si>
  <si>
    <t>Getaneh asefa</t>
  </si>
  <si>
    <t>Million Bikole Negasa</t>
  </si>
  <si>
    <t>MT Production plc</t>
  </si>
  <si>
    <t>Fasika Tadesse Bogale</t>
  </si>
  <si>
    <t>Urji Teshome</t>
  </si>
  <si>
    <t>Ketoran Tasfaye</t>
  </si>
  <si>
    <t>Weserve</t>
  </si>
  <si>
    <t>BEKUREAMANUEL YEMANE MENGESHA</t>
  </si>
  <si>
    <t>Zobil Telecommunication VAS</t>
  </si>
  <si>
    <t>Tesfalem Tilahun Alemu</t>
  </si>
  <si>
    <t>Mohammed Abdo</t>
  </si>
  <si>
    <t>zuzi PLC</t>
  </si>
  <si>
    <t>Kingtel Import telecommunication Equipment</t>
  </si>
  <si>
    <t>Saleh Awadh Nasser</t>
  </si>
  <si>
    <t>Dawit Mitiku Debela</t>
  </si>
  <si>
    <t>Tekle Tesfaye VAS</t>
  </si>
  <si>
    <t>Bluegrass Entertainment</t>
  </si>
  <si>
    <t>Sena Kenea Dinka</t>
  </si>
  <si>
    <t>TEA MEDIA AND EVENTS</t>
  </si>
  <si>
    <t>Nuwalif Technology</t>
  </si>
  <si>
    <t>Hawi Getahun Mulisa</t>
  </si>
  <si>
    <t>Obsa Wakweya</t>
  </si>
  <si>
    <t>Mulugeta Terefe Gurmessa</t>
  </si>
  <si>
    <t>Temkin Entertainment Telecommunication VAS</t>
  </si>
  <si>
    <t>Endris Mohammed Hussen</t>
  </si>
  <si>
    <t>GADISE EBISA GUYASA TELECOMMUNICATION VAS</t>
  </si>
  <si>
    <t>NEIMALAH AMDE YIMAM</t>
  </si>
  <si>
    <t>Ayantu Aschenaki Bahiru</t>
  </si>
  <si>
    <t>ALKE BULAN TRADING ONE MEMBER PLC</t>
  </si>
  <si>
    <t>OK VAS</t>
  </si>
  <si>
    <t>Dita Argo Gudeta</t>
  </si>
  <si>
    <t>Etika Teferi</t>
  </si>
  <si>
    <t>Eko plus IT solution PLC</t>
  </si>
  <si>
    <t>Mak Records</t>
  </si>
  <si>
    <t>Fraol Tesfaye Wakjira Vas</t>
  </si>
  <si>
    <t>Ali Vas</t>
  </si>
  <si>
    <t>Yesiak Banjaw Belayneh</t>
  </si>
  <si>
    <t>SURA ASEFA</t>
  </si>
  <si>
    <t>Flora IT Solution Plc</t>
  </si>
  <si>
    <t>Shigute Dabeta Geleta</t>
  </si>
  <si>
    <t>Sidona Telecommunication VAS</t>
  </si>
  <si>
    <t>Tolawak Dugusa</t>
  </si>
  <si>
    <t>Michu plc</t>
  </si>
  <si>
    <t>Go Tech technology</t>
  </si>
  <si>
    <t>Vas Mas Trading PLC</t>
  </si>
  <si>
    <t>Top Entertainment PLC</t>
  </si>
  <si>
    <t>A T M ENGINEERING PLC</t>
  </si>
  <si>
    <t>Hope entertainment plc</t>
  </si>
  <si>
    <t>Ebise Darge Telecommunication Value Added Service</t>
  </si>
  <si>
    <t>Neew ict and Event Organizer plc</t>
  </si>
  <si>
    <t>KUTAKO SOLUTIONS</t>
  </si>
  <si>
    <t>Ismael Emam Usman</t>
  </si>
  <si>
    <t>Aknaw Dima Yadeta</t>
  </si>
  <si>
    <t>Elpida trading plc</t>
  </si>
  <si>
    <t>Gizaw Merga</t>
  </si>
  <si>
    <t>RASE GENERAL TRADING PLC</t>
  </si>
  <si>
    <t>Fenta Wechefo Mengestu</t>
  </si>
  <si>
    <t>Gadise Tariku</t>
  </si>
  <si>
    <t>Yishak Kebede</t>
  </si>
  <si>
    <t>naanaawee Investment One Member PLC</t>
  </si>
  <si>
    <t>A3 Value Added Services Plc</t>
  </si>
  <si>
    <t>Yosan Getahun Likisa</t>
  </si>
  <si>
    <t>SHASHA ENTERTAINMENT</t>
  </si>
  <si>
    <t>Eyob busa</t>
  </si>
  <si>
    <t>Yessuneh Dafo Aman</t>
  </si>
  <si>
    <t>Keol Negesa Melka</t>
  </si>
  <si>
    <t>Bushra Ahmed</t>
  </si>
  <si>
    <t>Waleed a abdulrahamn</t>
  </si>
  <si>
    <t>ODAA Technologies Solution Plc</t>
  </si>
  <si>
    <t>Bisrat Surefel Abebe</t>
  </si>
  <si>
    <t>Vision ENT Entertainment PLC</t>
  </si>
  <si>
    <t>Mohammed a abdulrahaman</t>
  </si>
  <si>
    <t>Zelalem Ayalew Nigusse</t>
  </si>
  <si>
    <t>HANAZI STUDIO</t>
  </si>
  <si>
    <t>Everest Consultancy plc</t>
  </si>
  <si>
    <t>Shakura VAS PLC</t>
  </si>
  <si>
    <t>Kegna Techno Value Added Service work plc</t>
  </si>
  <si>
    <t>MYROCK TECHNOLOGY SERVICE</t>
  </si>
  <si>
    <t>ADONAY INTERNET SOLUTION PLC</t>
  </si>
  <si>
    <t>Orbit Consultance plc</t>
  </si>
  <si>
    <t>Pula Holdings Trading One Member plc</t>
  </si>
  <si>
    <t>Kasma General Contractor</t>
  </si>
  <si>
    <t>ET Production plc</t>
  </si>
  <si>
    <t>HARMONY MULTIMEDIA ONE MEMBER PLC</t>
  </si>
  <si>
    <t>Shewa Kena Benti</t>
  </si>
  <si>
    <t>ECHO ETHIOPIA SOLUTION PLC</t>
  </si>
  <si>
    <t>KAKU STUDIO PLC</t>
  </si>
  <si>
    <t>GHG Trading Plc</t>
  </si>
  <si>
    <t>Eristie Atinaf Asres</t>
  </si>
  <si>
    <t>Feliz VAS</t>
  </si>
  <si>
    <t>Addisu Wayma Hunde</t>
  </si>
  <si>
    <t>Seada Ali Hassen</t>
  </si>
  <si>
    <t>Amuni Trading PLC</t>
  </si>
  <si>
    <t>GTECH TECHNOLOGIES PLC</t>
  </si>
  <si>
    <t>TWO F CAPITAL PLC</t>
  </si>
  <si>
    <t>Kallah Trading Private Limited Company</t>
  </si>
  <si>
    <t>Elu Star Trading PLC</t>
  </si>
  <si>
    <t>May Technology Plc</t>
  </si>
  <si>
    <t>Credocks</t>
  </si>
  <si>
    <t>Qalbii software techologies</t>
  </si>
  <si>
    <t>METI FEYE TOLA TELECOMMUNICATION VAS</t>
  </si>
  <si>
    <t>MMRYICT PLC</t>
  </si>
  <si>
    <t>Natnael</t>
  </si>
  <si>
    <t>Thabet Technologies</t>
  </si>
  <si>
    <t>ITex Technology plc</t>
  </si>
  <si>
    <t>HEAVENS ECHO SCHOOL OF MUSIC PLC</t>
  </si>
  <si>
    <t>Kezira Technology plc</t>
  </si>
  <si>
    <t>Tigist Legasa</t>
  </si>
  <si>
    <t>KIBENESH TESFAYE ESHETE</t>
  </si>
  <si>
    <t>We share ICT Technology PLC</t>
  </si>
  <si>
    <t>MIST Technology plc</t>
  </si>
  <si>
    <t>Smart Technology PLC</t>
  </si>
  <si>
    <t>ZAYTECH IT SOLUTIONS SC</t>
  </si>
  <si>
    <t>Awtar Multi media plc</t>
  </si>
  <si>
    <t>DERA DERA TRADING PLC</t>
  </si>
  <si>
    <t>B andT Telecommunication VAS</t>
  </si>
  <si>
    <t>Techspace Trading Plc</t>
  </si>
  <si>
    <t>Speed Tech It Technologies Plc</t>
  </si>
  <si>
    <t>salah hussen salah</t>
  </si>
  <si>
    <t>Tolit-Tech Value Added service</t>
  </si>
  <si>
    <t>Brote Tich Trading plc</t>
  </si>
  <si>
    <t>April- 2026 Over Payment</t>
  </si>
  <si>
    <r>
      <rPr>
        <b/>
        <sz val="9"/>
        <color theme="0"/>
        <rFont val="Arial"/>
        <family val="2"/>
      </rPr>
      <t>April- 2026</t>
    </r>
    <r>
      <rPr>
        <b/>
        <sz val="8"/>
        <color theme="1"/>
        <rFont val="Arial"/>
        <family val="2"/>
      </rPr>
      <t xml:space="preserve"> total Revenue</t>
    </r>
  </si>
  <si>
    <r>
      <rPr>
        <b/>
        <sz val="9"/>
        <rFont val="Arial"/>
        <family val="2"/>
      </rPr>
      <t>New</t>
    </r>
    <r>
      <rPr>
        <b/>
        <sz val="9"/>
        <color theme="0"/>
        <rFont val="Arial"/>
        <family val="2"/>
      </rPr>
      <t xml:space="preserve"> April- 2026 </t>
    </r>
    <r>
      <rPr>
        <b/>
        <sz val="9"/>
        <rFont val="Arial"/>
        <family val="2"/>
      </rPr>
      <t>Total Revenue</t>
    </r>
  </si>
  <si>
    <t>To be deducted next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</si>
</sst>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50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Segoe UI"/>
      <family val="2"/>
      <charset val="1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6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0"/>
      <color indexed="64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Arial"/>
      <family val="2"/>
    </font>
    <font>
      <b/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70C0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64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sz val="8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rgb="FF505050"/>
      </left>
      <right style="thin">
        <color rgb="FF505050"/>
      </right>
      <top style="thick">
        <color indexed="64"/>
      </top>
      <bottom style="thick">
        <color rgb="FF505050"/>
      </bottom>
      <diagonal/>
    </border>
    <border>
      <left style="thin">
        <color rgb="FF505050"/>
      </left>
      <right style="thin">
        <color rgb="FF505050"/>
      </right>
      <top style="thick">
        <color indexed="64"/>
      </top>
      <bottom style="thick">
        <color rgb="FF505050"/>
      </bottom>
      <diagonal/>
    </border>
    <border>
      <left style="thin">
        <color rgb="FF505050"/>
      </left>
      <right style="thick">
        <color rgb="FF505050"/>
      </right>
      <top style="thick">
        <color indexed="64"/>
      </top>
      <bottom style="thick">
        <color rgb="FF50505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rgb="FF50505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rgb="FF505050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auto="1"/>
      </top>
      <bottom style="thick">
        <color rgb="FF505050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ck">
        <color rgb="FF505050"/>
      </bottom>
      <diagonal/>
    </border>
    <border>
      <left style="thin">
        <color indexed="64"/>
      </left>
      <right style="thick">
        <color indexed="64"/>
      </right>
      <top style="thick">
        <color auto="1"/>
      </top>
      <bottom style="thick">
        <color rgb="FF505050"/>
      </bottom>
      <diagonal/>
    </border>
    <border>
      <left style="thin">
        <color rgb="FF505050"/>
      </left>
      <right style="thick">
        <color indexed="64"/>
      </right>
      <top style="thick">
        <color indexed="64"/>
      </top>
      <bottom style="thick">
        <color rgb="FF505050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auto="1"/>
      </top>
      <bottom style="thick">
        <color rgb="FF50505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rgb="FF505050"/>
      </bottom>
      <diagonal/>
    </border>
    <border>
      <left style="thick">
        <color auto="1"/>
      </left>
      <right/>
      <top style="thick">
        <color auto="1"/>
      </top>
      <bottom style="thick">
        <color indexed="64"/>
      </bottom>
      <diagonal/>
    </border>
    <border>
      <left/>
      <right/>
      <top style="thick">
        <color auto="1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rgb="FF50505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rgb="FF505050"/>
      </bottom>
      <diagonal/>
    </border>
    <border>
      <left style="thick">
        <color rgb="FF505050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rgb="FF50505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rgb="FF505050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rgb="FF50505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rgb="FF505050"/>
      </top>
      <bottom style="thick">
        <color indexed="64"/>
      </bottom>
      <diagonal/>
    </border>
    <border>
      <left/>
      <right/>
      <top style="thick">
        <color rgb="FF505050"/>
      </top>
      <bottom style="thick">
        <color indexed="64"/>
      </bottom>
      <diagonal/>
    </border>
    <border>
      <left style="thin">
        <color rgb="FF505050"/>
      </left>
      <right style="thick">
        <color indexed="64"/>
      </right>
      <top style="thick">
        <color rgb="FF50505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rgb="FF50505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auto="1"/>
      </top>
      <bottom style="thick">
        <color rgb="FF505050"/>
      </bottom>
      <diagonal/>
    </border>
  </borders>
  <cellStyleXfs count="27">
    <xf numFmtId="0" fontId="0" fillId="0" borderId="0"/>
    <xf numFmtId="165" fontId="11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1" fillId="0" borderId="0"/>
    <xf numFmtId="165" fontId="1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5" fillId="0" borderId="0"/>
    <xf numFmtId="165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604">
    <xf numFmtId="0" fontId="0" fillId="0" borderId="0" xfId="0"/>
    <xf numFmtId="165" fontId="0" fillId="0" borderId="0" xfId="1" applyFont="1"/>
    <xf numFmtId="0" fontId="0" fillId="0" borderId="0" xfId="0" applyAlignment="1">
      <alignment horizontal="center"/>
    </xf>
    <xf numFmtId="43" fontId="14" fillId="3" borderId="11" xfId="0" applyNumberFormat="1" applyFont="1" applyFill="1" applyBorder="1" applyAlignment="1">
      <alignment horizontal="center" vertical="center" wrapText="1"/>
    </xf>
    <xf numFmtId="4" fontId="12" fillId="0" borderId="1" xfId="0" applyNumberFormat="1" applyFont="1" applyBorder="1"/>
    <xf numFmtId="0" fontId="12" fillId="0" borderId="14" xfId="0" applyFont="1" applyBorder="1"/>
    <xf numFmtId="4" fontId="16" fillId="5" borderId="16" xfId="3" applyNumberFormat="1" applyFont="1" applyFill="1" applyBorder="1"/>
    <xf numFmtId="43" fontId="14" fillId="3" borderId="12" xfId="0" applyNumberFormat="1" applyFont="1" applyFill="1" applyBorder="1" applyAlignment="1">
      <alignment horizontal="center" vertical="center" wrapText="1"/>
    </xf>
    <xf numFmtId="4" fontId="12" fillId="5" borderId="23" xfId="3" applyNumberFormat="1" applyFont="1" applyFill="1" applyBorder="1"/>
    <xf numFmtId="0" fontId="12" fillId="0" borderId="5" xfId="0" applyFont="1" applyBorder="1"/>
    <xf numFmtId="0" fontId="14" fillId="2" borderId="2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43" fontId="17" fillId="4" borderId="17" xfId="0" applyNumberFormat="1" applyFont="1" applyFill="1" applyBorder="1"/>
    <xf numFmtId="43" fontId="17" fillId="3" borderId="18" xfId="0" applyNumberFormat="1" applyFont="1" applyFill="1" applyBorder="1"/>
    <xf numFmtId="0" fontId="14" fillId="2" borderId="22" xfId="0" applyFont="1" applyFill="1" applyBorder="1" applyAlignment="1">
      <alignment horizontal="center" vertical="center" wrapText="1"/>
    </xf>
    <xf numFmtId="43" fontId="14" fillId="3" borderId="26" xfId="0" applyNumberFormat="1" applyFont="1" applyFill="1" applyBorder="1" applyAlignment="1">
      <alignment horizontal="center" vertical="center" wrapText="1"/>
    </xf>
    <xf numFmtId="0" fontId="19" fillId="0" borderId="1" xfId="0" applyFont="1" applyBorder="1"/>
    <xf numFmtId="43" fontId="12" fillId="0" borderId="1" xfId="0" applyNumberFormat="1" applyFont="1" applyBorder="1"/>
    <xf numFmtId="0" fontId="12" fillId="0" borderId="15" xfId="0" applyFont="1" applyBorder="1" applyAlignment="1">
      <alignment horizontal="center"/>
    </xf>
    <xf numFmtId="43" fontId="15" fillId="4" borderId="17" xfId="0" applyNumberFormat="1" applyFont="1" applyFill="1" applyBorder="1"/>
    <xf numFmtId="43" fontId="15" fillId="4" borderId="18" xfId="0" applyNumberFormat="1" applyFont="1" applyFill="1" applyBorder="1"/>
    <xf numFmtId="43" fontId="0" fillId="0" borderId="0" xfId="0" applyNumberFormat="1"/>
    <xf numFmtId="4" fontId="19" fillId="0" borderId="1" xfId="3" applyNumberFormat="1" applyFont="1" applyBorder="1" applyAlignment="1"/>
    <xf numFmtId="0" fontId="12" fillId="0" borderId="29" xfId="0" applyFont="1" applyBorder="1"/>
    <xf numFmtId="0" fontId="9" fillId="0" borderId="0" xfId="8"/>
    <xf numFmtId="43" fontId="14" fillId="9" borderId="11" xfId="8" applyNumberFormat="1" applyFont="1" applyFill="1" applyBorder="1" applyAlignment="1">
      <alignment horizontal="center" vertical="center" wrapText="1"/>
    </xf>
    <xf numFmtId="0" fontId="15" fillId="9" borderId="12" xfId="8" applyFont="1" applyFill="1" applyBorder="1" applyAlignment="1">
      <alignment horizontal="center" vertical="center" wrapText="1"/>
    </xf>
    <xf numFmtId="0" fontId="28" fillId="8" borderId="10" xfId="8" applyFont="1" applyFill="1" applyBorder="1" applyAlignment="1">
      <alignment horizontal="center" vertical="center" wrapText="1"/>
    </xf>
    <xf numFmtId="0" fontId="28" fillId="8" borderId="31" xfId="8" applyFont="1" applyFill="1" applyBorder="1" applyAlignment="1">
      <alignment horizontal="center" vertical="center" wrapText="1"/>
    </xf>
    <xf numFmtId="0" fontId="24" fillId="8" borderId="10" xfId="8" applyFont="1" applyFill="1" applyBorder="1" applyAlignment="1">
      <alignment horizontal="center" vertical="center" wrapText="1"/>
    </xf>
    <xf numFmtId="43" fontId="14" fillId="8" borderId="10" xfId="8" applyNumberFormat="1" applyFont="1" applyFill="1" applyBorder="1" applyAlignment="1">
      <alignment horizontal="center" vertical="center" wrapText="1"/>
    </xf>
    <xf numFmtId="43" fontId="14" fillId="8" borderId="11" xfId="8" applyNumberFormat="1" applyFont="1" applyFill="1" applyBorder="1" applyAlignment="1">
      <alignment horizontal="center" vertical="center" wrapText="1"/>
    </xf>
    <xf numFmtId="43" fontId="14" fillId="8" borderId="12" xfId="8" applyNumberFormat="1" applyFont="1" applyFill="1" applyBorder="1" applyAlignment="1">
      <alignment horizontal="center" vertical="center" wrapText="1"/>
    </xf>
    <xf numFmtId="0" fontId="15" fillId="7" borderId="46" xfId="8" applyFont="1" applyFill="1" applyBorder="1"/>
    <xf numFmtId="0" fontId="15" fillId="7" borderId="51" xfId="8" applyFont="1" applyFill="1" applyBorder="1" applyAlignment="1">
      <alignment horizontal="left"/>
    </xf>
    <xf numFmtId="0" fontId="15" fillId="7" borderId="15" xfId="8" applyFont="1" applyFill="1" applyBorder="1" applyAlignment="1">
      <alignment horizontal="center"/>
    </xf>
    <xf numFmtId="165" fontId="12" fillId="7" borderId="4" xfId="8" applyNumberFormat="1" applyFont="1" applyFill="1" applyBorder="1"/>
    <xf numFmtId="165" fontId="29" fillId="0" borderId="50" xfId="8" applyNumberFormat="1" applyFont="1" applyBorder="1"/>
    <xf numFmtId="165" fontId="9" fillId="10" borderId="3" xfId="8" applyNumberFormat="1" applyFill="1" applyBorder="1"/>
    <xf numFmtId="165" fontId="30" fillId="0" borderId="13" xfId="8" applyNumberFormat="1" applyFont="1" applyBorder="1"/>
    <xf numFmtId="165" fontId="26" fillId="0" borderId="1" xfId="8" applyNumberFormat="1" applyFont="1" applyBorder="1"/>
    <xf numFmtId="165" fontId="26" fillId="0" borderId="14" xfId="8" applyNumberFormat="1" applyFont="1" applyBorder="1"/>
    <xf numFmtId="0" fontId="22" fillId="0" borderId="52" xfId="8" applyFont="1" applyBorder="1"/>
    <xf numFmtId="0" fontId="15" fillId="0" borderId="13" xfId="8" applyFont="1" applyBorder="1"/>
    <xf numFmtId="0" fontId="15" fillId="0" borderId="1" xfId="8" applyFont="1" applyBorder="1" applyAlignment="1">
      <alignment horizontal="left"/>
    </xf>
    <xf numFmtId="0" fontId="15" fillId="0" borderId="14" xfId="8" applyFont="1" applyBorder="1" applyAlignment="1">
      <alignment horizontal="center"/>
    </xf>
    <xf numFmtId="165" fontId="15" fillId="10" borderId="14" xfId="8" applyNumberFormat="1" applyFont="1" applyFill="1" applyBorder="1"/>
    <xf numFmtId="165" fontId="12" fillId="0" borderId="1" xfId="8" applyNumberFormat="1" applyFont="1" applyBorder="1"/>
    <xf numFmtId="3" fontId="23" fillId="0" borderId="14" xfId="8" applyNumberFormat="1" applyFont="1" applyBorder="1"/>
    <xf numFmtId="165" fontId="29" fillId="0" borderId="48" xfId="8" applyNumberFormat="1" applyFont="1" applyBorder="1"/>
    <xf numFmtId="165" fontId="9" fillId="10" borderId="13" xfId="8" applyNumberFormat="1" applyFill="1" applyBorder="1"/>
    <xf numFmtId="165" fontId="11" fillId="0" borderId="1" xfId="9" applyFont="1" applyBorder="1"/>
    <xf numFmtId="165" fontId="11" fillId="0" borderId="1" xfId="8" applyNumberFormat="1" applyFont="1" applyBorder="1"/>
    <xf numFmtId="3" fontId="9" fillId="0" borderId="14" xfId="8" applyNumberFormat="1" applyBorder="1"/>
    <xf numFmtId="0" fontId="20" fillId="0" borderId="20" xfId="8" applyFont="1" applyBorder="1"/>
    <xf numFmtId="0" fontId="20" fillId="0" borderId="32" xfId="8" applyFont="1" applyBorder="1" applyAlignment="1">
      <alignment horizontal="right"/>
    </xf>
    <xf numFmtId="165" fontId="16" fillId="8" borderId="18" xfId="8" applyNumberFormat="1" applyFont="1" applyFill="1" applyBorder="1"/>
    <xf numFmtId="165" fontId="15" fillId="11" borderId="34" xfId="8" applyNumberFormat="1" applyFont="1" applyFill="1" applyBorder="1"/>
    <xf numFmtId="165" fontId="15" fillId="11" borderId="35" xfId="8" applyNumberFormat="1" applyFont="1" applyFill="1" applyBorder="1"/>
    <xf numFmtId="4" fontId="14" fillId="0" borderId="2" xfId="8" applyNumberFormat="1" applyFont="1" applyBorder="1"/>
    <xf numFmtId="166" fontId="27" fillId="12" borderId="33" xfId="8" applyNumberFormat="1" applyFont="1" applyFill="1" applyBorder="1"/>
    <xf numFmtId="165" fontId="27" fillId="12" borderId="53" xfId="8" applyNumberFormat="1" applyFont="1" applyFill="1" applyBorder="1"/>
    <xf numFmtId="165" fontId="22" fillId="8" borderId="33" xfId="8" applyNumberFormat="1" applyFont="1" applyFill="1" applyBorder="1"/>
    <xf numFmtId="165" fontId="22" fillId="8" borderId="17" xfId="9" applyFont="1" applyFill="1" applyBorder="1"/>
    <xf numFmtId="165" fontId="22" fillId="8" borderId="36" xfId="9" applyFont="1" applyFill="1" applyBorder="1"/>
    <xf numFmtId="0" fontId="22" fillId="0" borderId="19" xfId="8" applyFont="1" applyBorder="1"/>
    <xf numFmtId="0" fontId="9" fillId="0" borderId="0" xfId="8" applyAlignment="1">
      <alignment horizontal="center"/>
    </xf>
    <xf numFmtId="165" fontId="29" fillId="7" borderId="13" xfId="8" applyNumberFormat="1" applyFont="1" applyFill="1" applyBorder="1"/>
    <xf numFmtId="165" fontId="29" fillId="7" borderId="3" xfId="8" applyNumberFormat="1" applyFont="1" applyFill="1" applyBorder="1"/>
    <xf numFmtId="0" fontId="6" fillId="0" borderId="0" xfId="14"/>
    <xf numFmtId="43" fontId="14" fillId="9" borderId="22" xfId="14" applyNumberFormat="1" applyFont="1" applyFill="1" applyBorder="1" applyAlignment="1">
      <alignment horizontal="center" vertical="center" wrapText="1"/>
    </xf>
    <xf numFmtId="43" fontId="14" fillId="9" borderId="11" xfId="14" applyNumberFormat="1" applyFont="1" applyFill="1" applyBorder="1" applyAlignment="1">
      <alignment horizontal="center" vertical="center" wrapText="1"/>
    </xf>
    <xf numFmtId="43" fontId="14" fillId="9" borderId="12" xfId="14" applyNumberFormat="1" applyFont="1" applyFill="1" applyBorder="1" applyAlignment="1">
      <alignment horizontal="center" vertical="center" wrapText="1"/>
    </xf>
    <xf numFmtId="43" fontId="14" fillId="8" borderId="10" xfId="14" applyNumberFormat="1" applyFont="1" applyFill="1" applyBorder="1" applyAlignment="1">
      <alignment horizontal="center" vertical="center" wrapText="1"/>
    </xf>
    <xf numFmtId="43" fontId="14" fillId="8" borderId="12" xfId="14" applyNumberFormat="1" applyFont="1" applyFill="1" applyBorder="1" applyAlignment="1">
      <alignment horizontal="center" vertical="center" wrapText="1"/>
    </xf>
    <xf numFmtId="0" fontId="15" fillId="0" borderId="4" xfId="14" applyFont="1" applyBorder="1" applyAlignment="1">
      <alignment horizontal="left"/>
    </xf>
    <xf numFmtId="0" fontId="15" fillId="0" borderId="50" xfId="14" applyFont="1" applyBorder="1" applyAlignment="1">
      <alignment horizontal="center"/>
    </xf>
    <xf numFmtId="165" fontId="6" fillId="0" borderId="0" xfId="14" applyNumberFormat="1"/>
    <xf numFmtId="0" fontId="15" fillId="0" borderId="51" xfId="14" applyFont="1" applyBorder="1" applyAlignment="1">
      <alignment horizontal="left"/>
    </xf>
    <xf numFmtId="0" fontId="15" fillId="0" borderId="66" xfId="14" applyFont="1" applyBorder="1" applyAlignment="1">
      <alignment horizontal="center"/>
    </xf>
    <xf numFmtId="165" fontId="35" fillId="10" borderId="52" xfId="15" applyFont="1" applyFill="1" applyBorder="1"/>
    <xf numFmtId="0" fontId="6" fillId="0" borderId="0" xfId="14" applyAlignment="1">
      <alignment horizontal="center"/>
    </xf>
    <xf numFmtId="3" fontId="32" fillId="0" borderId="50" xfId="0" applyNumberFormat="1" applyFont="1" applyBorder="1" applyAlignment="1">
      <alignment horizontal="left"/>
    </xf>
    <xf numFmtId="4" fontId="14" fillId="7" borderId="13" xfId="0" applyNumberFormat="1" applyFont="1" applyFill="1" applyBorder="1"/>
    <xf numFmtId="3" fontId="17" fillId="7" borderId="46" xfId="0" applyNumberFormat="1" applyFont="1" applyFill="1" applyBorder="1"/>
    <xf numFmtId="4" fontId="27" fillId="7" borderId="51" xfId="0" applyNumberFormat="1" applyFont="1" applyFill="1" applyBorder="1"/>
    <xf numFmtId="4" fontId="37" fillId="7" borderId="15" xfId="0" applyNumberFormat="1" applyFont="1" applyFill="1" applyBorder="1"/>
    <xf numFmtId="164" fontId="17" fillId="5" borderId="29" xfId="1" applyNumberFormat="1" applyFont="1" applyFill="1" applyBorder="1"/>
    <xf numFmtId="3" fontId="18" fillId="0" borderId="23" xfId="1" applyNumberFormat="1" applyFont="1" applyBorder="1"/>
    <xf numFmtId="3" fontId="18" fillId="0" borderId="1" xfId="1" applyNumberFormat="1" applyFont="1" applyBorder="1"/>
    <xf numFmtId="3" fontId="32" fillId="0" borderId="48" xfId="0" applyNumberFormat="1" applyFont="1" applyBorder="1" applyAlignment="1">
      <alignment horizontal="left"/>
    </xf>
    <xf numFmtId="3" fontId="14" fillId="4" borderId="72" xfId="0" applyNumberFormat="1" applyFont="1" applyFill="1" applyBorder="1"/>
    <xf numFmtId="3" fontId="14" fillId="4" borderId="34" xfId="0" applyNumberFormat="1" applyFont="1" applyFill="1" applyBorder="1"/>
    <xf numFmtId="43" fontId="21" fillId="6" borderId="10" xfId="0" applyNumberFormat="1" applyFont="1" applyFill="1" applyBorder="1" applyAlignment="1">
      <alignment horizontal="center" vertical="center" wrapText="1"/>
    </xf>
    <xf numFmtId="43" fontId="28" fillId="6" borderId="11" xfId="0" applyNumberFormat="1" applyFont="1" applyFill="1" applyBorder="1" applyAlignment="1">
      <alignment horizontal="center" vertical="center" wrapText="1"/>
    </xf>
    <xf numFmtId="43" fontId="15" fillId="3" borderId="12" xfId="0" applyNumberFormat="1" applyFont="1" applyFill="1" applyBorder="1" applyAlignment="1">
      <alignment horizontal="center" vertical="center" wrapText="1"/>
    </xf>
    <xf numFmtId="1" fontId="17" fillId="7" borderId="3" xfId="0" applyNumberFormat="1" applyFont="1" applyFill="1" applyBorder="1" applyAlignment="1">
      <alignment horizontal="center"/>
    </xf>
    <xf numFmtId="1" fontId="17" fillId="0" borderId="5" xfId="0" applyNumberFormat="1" applyFont="1" applyBorder="1"/>
    <xf numFmtId="4" fontId="37" fillId="7" borderId="48" xfId="0" applyNumberFormat="1" applyFont="1" applyFill="1" applyBorder="1"/>
    <xf numFmtId="4" fontId="15" fillId="0" borderId="57" xfId="0" applyNumberFormat="1" applyFont="1" applyBorder="1" applyAlignment="1">
      <alignment horizontal="center"/>
    </xf>
    <xf numFmtId="1" fontId="17" fillId="7" borderId="13" xfId="0" applyNumberFormat="1" applyFont="1" applyFill="1" applyBorder="1" applyAlignment="1">
      <alignment horizontal="center"/>
    </xf>
    <xf numFmtId="1" fontId="17" fillId="0" borderId="14" xfId="0" applyNumberFormat="1" applyFont="1" applyBorder="1"/>
    <xf numFmtId="3" fontId="17" fillId="7" borderId="13" xfId="0" applyNumberFormat="1" applyFont="1" applyFill="1" applyBorder="1"/>
    <xf numFmtId="1" fontId="17" fillId="0" borderId="13" xfId="0" applyNumberFormat="1" applyFont="1" applyBorder="1" applyAlignment="1">
      <alignment horizontal="center"/>
    </xf>
    <xf numFmtId="49" fontId="17" fillId="7" borderId="13" xfId="0" applyNumberFormat="1" applyFont="1" applyFill="1" applyBorder="1" applyAlignment="1">
      <alignment horizontal="center"/>
    </xf>
    <xf numFmtId="0" fontId="0" fillId="7" borderId="0" xfId="0" applyFill="1"/>
    <xf numFmtId="3" fontId="32" fillId="0" borderId="48" xfId="0" applyNumberFormat="1" applyFont="1" applyBorder="1" applyAlignment="1">
      <alignment horizontal="left" wrapText="1"/>
    </xf>
    <xf numFmtId="0" fontId="20" fillId="0" borderId="20" xfId="0" applyFont="1" applyBorder="1"/>
    <xf numFmtId="0" fontId="20" fillId="0" borderId="21" xfId="0" applyFont="1" applyBorder="1" applyAlignment="1">
      <alignment horizontal="right"/>
    </xf>
    <xf numFmtId="3" fontId="14" fillId="4" borderId="35" xfId="0" applyNumberFormat="1" applyFont="1" applyFill="1" applyBorder="1"/>
    <xf numFmtId="3" fontId="14" fillId="0" borderId="2" xfId="0" applyNumberFormat="1" applyFont="1" applyBorder="1" applyAlignment="1">
      <alignment horizontal="center"/>
    </xf>
    <xf numFmtId="3" fontId="21" fillId="6" borderId="54" xfId="0" applyNumberFormat="1" applyFont="1" applyFill="1" applyBorder="1"/>
    <xf numFmtId="3" fontId="39" fillId="3" borderId="75" xfId="0" applyNumberFormat="1" applyFont="1" applyFill="1" applyBorder="1"/>
    <xf numFmtId="3" fontId="34" fillId="6" borderId="59" xfId="0" applyNumberFormat="1" applyFont="1" applyFill="1" applyBorder="1"/>
    <xf numFmtId="3" fontId="38" fillId="6" borderId="73" xfId="0" applyNumberFormat="1" applyFont="1" applyFill="1" applyBorder="1"/>
    <xf numFmtId="3" fontId="39" fillId="3" borderId="68" xfId="0" applyNumberFormat="1" applyFont="1" applyFill="1" applyBorder="1"/>
    <xf numFmtId="0" fontId="0" fillId="0" borderId="19" xfId="0" applyBorder="1"/>
    <xf numFmtId="3" fontId="0" fillId="0" borderId="0" xfId="0" applyNumberFormat="1"/>
    <xf numFmtId="1" fontId="17" fillId="7" borderId="14" xfId="0" applyNumberFormat="1" applyFont="1" applyFill="1" applyBorder="1"/>
    <xf numFmtId="3" fontId="18" fillId="7" borderId="23" xfId="1" applyNumberFormat="1" applyFont="1" applyFill="1" applyBorder="1"/>
    <xf numFmtId="3" fontId="18" fillId="7" borderId="1" xfId="1" applyNumberFormat="1" applyFont="1" applyFill="1" applyBorder="1"/>
    <xf numFmtId="3" fontId="32" fillId="7" borderId="48" xfId="0" applyNumberFormat="1" applyFont="1" applyFill="1" applyBorder="1" applyAlignment="1">
      <alignment horizontal="left"/>
    </xf>
    <xf numFmtId="4" fontId="27" fillId="7" borderId="57" xfId="0" applyNumberFormat="1" applyFont="1" applyFill="1" applyBorder="1" applyAlignment="1">
      <alignment horizontal="center" wrapText="1"/>
    </xf>
    <xf numFmtId="1" fontId="17" fillId="14" borderId="13" xfId="0" applyNumberFormat="1" applyFont="1" applyFill="1" applyBorder="1" applyAlignment="1">
      <alignment horizontal="center"/>
    </xf>
    <xf numFmtId="1" fontId="17" fillId="14" borderId="14" xfId="0" applyNumberFormat="1" applyFont="1" applyFill="1" applyBorder="1"/>
    <xf numFmtId="3" fontId="32" fillId="14" borderId="48" xfId="0" applyNumberFormat="1" applyFont="1" applyFill="1" applyBorder="1" applyAlignment="1">
      <alignment horizontal="left"/>
    </xf>
    <xf numFmtId="3" fontId="17" fillId="14" borderId="13" xfId="0" applyNumberFormat="1" applyFont="1" applyFill="1" applyBorder="1"/>
    <xf numFmtId="4" fontId="27" fillId="14" borderId="51" xfId="0" applyNumberFormat="1" applyFont="1" applyFill="1" applyBorder="1"/>
    <xf numFmtId="4" fontId="38" fillId="14" borderId="15" xfId="0" applyNumberFormat="1" applyFont="1" applyFill="1" applyBorder="1"/>
    <xf numFmtId="0" fontId="15" fillId="15" borderId="13" xfId="8" applyFont="1" applyFill="1" applyBorder="1"/>
    <xf numFmtId="0" fontId="15" fillId="15" borderId="1" xfId="8" applyFont="1" applyFill="1" applyBorder="1" applyAlignment="1">
      <alignment horizontal="left"/>
    </xf>
    <xf numFmtId="1" fontId="17" fillId="15" borderId="13" xfId="0" applyNumberFormat="1" applyFont="1" applyFill="1" applyBorder="1" applyAlignment="1">
      <alignment horizontal="center"/>
    </xf>
    <xf numFmtId="1" fontId="17" fillId="15" borderId="14" xfId="0" applyNumberFormat="1" applyFont="1" applyFill="1" applyBorder="1"/>
    <xf numFmtId="0" fontId="15" fillId="15" borderId="0" xfId="8" applyFont="1" applyFill="1"/>
    <xf numFmtId="0" fontId="15" fillId="15" borderId="0" xfId="8" applyFont="1" applyFill="1" applyAlignment="1">
      <alignment horizontal="left"/>
    </xf>
    <xf numFmtId="165" fontId="15" fillId="10" borderId="0" xfId="8" applyNumberFormat="1" applyFont="1" applyFill="1"/>
    <xf numFmtId="3" fontId="9" fillId="0" borderId="63" xfId="8" applyNumberFormat="1" applyBorder="1"/>
    <xf numFmtId="165" fontId="29" fillId="0" borderId="79" xfId="8" applyNumberFormat="1" applyFont="1" applyBorder="1"/>
    <xf numFmtId="165" fontId="9" fillId="10" borderId="43" xfId="8" applyNumberFormat="1" applyFill="1" applyBorder="1"/>
    <xf numFmtId="165" fontId="30" fillId="0" borderId="43" xfId="8" applyNumberFormat="1" applyFont="1" applyBorder="1"/>
    <xf numFmtId="165" fontId="26" fillId="0" borderId="0" xfId="8" applyNumberFormat="1" applyFont="1"/>
    <xf numFmtId="165" fontId="26" fillId="0" borderId="63" xfId="8" applyNumberFormat="1" applyFont="1" applyBorder="1"/>
    <xf numFmtId="0" fontId="22" fillId="0" borderId="80" xfId="8" applyFont="1" applyBorder="1"/>
    <xf numFmtId="1" fontId="17" fillId="0" borderId="0" xfId="0" applyNumberFormat="1" applyFont="1" applyAlignment="1">
      <alignment horizontal="center"/>
    </xf>
    <xf numFmtId="1" fontId="17" fillId="0" borderId="63" xfId="0" applyNumberFormat="1" applyFont="1" applyBorder="1"/>
    <xf numFmtId="164" fontId="17" fillId="5" borderId="27" xfId="1" applyNumberFormat="1" applyFont="1" applyFill="1" applyBorder="1"/>
    <xf numFmtId="3" fontId="32" fillId="0" borderId="0" xfId="0" applyNumberFormat="1" applyFont="1" applyAlignment="1">
      <alignment horizontal="left"/>
    </xf>
    <xf numFmtId="3" fontId="17" fillId="7" borderId="80" xfId="0" applyNumberFormat="1" applyFont="1" applyFill="1" applyBorder="1"/>
    <xf numFmtId="4" fontId="27" fillId="7" borderId="47" xfId="0" applyNumberFormat="1" applyFont="1" applyFill="1" applyBorder="1"/>
    <xf numFmtId="4" fontId="37" fillId="7" borderId="42" xfId="0" applyNumberFormat="1" applyFont="1" applyFill="1" applyBorder="1"/>
    <xf numFmtId="4" fontId="15" fillId="0" borderId="0" xfId="0" applyNumberFormat="1" applyFont="1" applyAlignment="1">
      <alignment horizontal="center"/>
    </xf>
    <xf numFmtId="165" fontId="16" fillId="11" borderId="58" xfId="1" applyFont="1" applyFill="1" applyBorder="1"/>
    <xf numFmtId="165" fontId="17" fillId="5" borderId="29" xfId="1" applyFont="1" applyFill="1" applyBorder="1"/>
    <xf numFmtId="43" fontId="33" fillId="16" borderId="22" xfId="0" applyNumberFormat="1" applyFont="1" applyFill="1" applyBorder="1" applyAlignment="1">
      <alignment horizontal="center" vertical="center" wrapText="1"/>
    </xf>
    <xf numFmtId="43" fontId="33" fillId="16" borderId="11" xfId="0" applyNumberFormat="1" applyFont="1" applyFill="1" applyBorder="1" applyAlignment="1">
      <alignment horizontal="center" vertical="center" wrapText="1"/>
    </xf>
    <xf numFmtId="0" fontId="33" fillId="16" borderId="12" xfId="0" applyFont="1" applyFill="1" applyBorder="1" applyAlignment="1">
      <alignment horizontal="center" vertical="center" wrapText="1"/>
    </xf>
    <xf numFmtId="43" fontId="33" fillId="6" borderId="10" xfId="0" applyNumberFormat="1" applyFont="1" applyFill="1" applyBorder="1" applyAlignment="1">
      <alignment horizontal="center" vertical="center" wrapText="1"/>
    </xf>
    <xf numFmtId="43" fontId="33" fillId="3" borderId="11" xfId="0" applyNumberFormat="1" applyFont="1" applyFill="1" applyBorder="1" applyAlignment="1">
      <alignment horizontal="center" vertical="center" wrapText="1"/>
    </xf>
    <xf numFmtId="0" fontId="33" fillId="6" borderId="12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/>
    </xf>
    <xf numFmtId="0" fontId="33" fillId="0" borderId="4" xfId="0" applyFont="1" applyBorder="1" applyAlignment="1">
      <alignment horizontal="left"/>
    </xf>
    <xf numFmtId="0" fontId="33" fillId="0" borderId="50" xfId="0" applyFont="1" applyBorder="1" applyAlignment="1">
      <alignment horizontal="center"/>
    </xf>
    <xf numFmtId="165" fontId="41" fillId="5" borderId="29" xfId="1" applyFont="1" applyFill="1" applyBorder="1"/>
    <xf numFmtId="4" fontId="42" fillId="0" borderId="23" xfId="0" applyNumberFormat="1" applyFont="1" applyBorder="1"/>
    <xf numFmtId="4" fontId="42" fillId="0" borderId="1" xfId="0" applyNumberFormat="1" applyFont="1" applyBorder="1"/>
    <xf numFmtId="0" fontId="42" fillId="0" borderId="4" xfId="0" applyFont="1" applyBorder="1"/>
    <xf numFmtId="3" fontId="43" fillId="0" borderId="3" xfId="0" applyNumberFormat="1" applyFont="1" applyBorder="1"/>
    <xf numFmtId="4" fontId="36" fillId="0" borderId="4" xfId="0" applyNumberFormat="1" applyFont="1" applyBorder="1"/>
    <xf numFmtId="4" fontId="33" fillId="0" borderId="8" xfId="0" applyNumberFormat="1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" xfId="0" applyFont="1" applyBorder="1" applyAlignment="1">
      <alignment horizontal="left"/>
    </xf>
    <xf numFmtId="0" fontId="33" fillId="0" borderId="48" xfId="0" applyFont="1" applyBorder="1" applyAlignment="1">
      <alignment horizontal="center"/>
    </xf>
    <xf numFmtId="0" fontId="42" fillId="0" borderId="1" xfId="0" applyFont="1" applyBorder="1"/>
    <xf numFmtId="3" fontId="43" fillId="0" borderId="13" xfId="0" applyNumberFormat="1" applyFont="1" applyBorder="1"/>
    <xf numFmtId="4" fontId="36" fillId="0" borderId="1" xfId="0" applyNumberFormat="1" applyFont="1" applyBorder="1"/>
    <xf numFmtId="4" fontId="33" fillId="0" borderId="45" xfId="0" applyNumberFormat="1" applyFont="1" applyBorder="1" applyAlignment="1">
      <alignment horizontal="center"/>
    </xf>
    <xf numFmtId="0" fontId="43" fillId="0" borderId="49" xfId="0" applyFont="1" applyBorder="1"/>
    <xf numFmtId="0" fontId="33" fillId="7" borderId="13" xfId="0" applyFont="1" applyFill="1" applyBorder="1" applyAlignment="1">
      <alignment horizontal="center"/>
    </xf>
    <xf numFmtId="0" fontId="33" fillId="7" borderId="1" xfId="0" applyFont="1" applyFill="1" applyBorder="1" applyAlignment="1">
      <alignment horizontal="left"/>
    </xf>
    <xf numFmtId="0" fontId="33" fillId="7" borderId="48" xfId="0" applyFont="1" applyFill="1" applyBorder="1" applyAlignment="1">
      <alignment horizontal="center"/>
    </xf>
    <xf numFmtId="0" fontId="42" fillId="7" borderId="1" xfId="0" applyFont="1" applyFill="1" applyBorder="1"/>
    <xf numFmtId="0" fontId="33" fillId="7" borderId="26" xfId="0" applyFont="1" applyFill="1" applyBorder="1" applyAlignment="1">
      <alignment horizontal="left"/>
    </xf>
    <xf numFmtId="0" fontId="42" fillId="0" borderId="26" xfId="0" applyFont="1" applyBorder="1"/>
    <xf numFmtId="4" fontId="33" fillId="0" borderId="82" xfId="0" applyNumberFormat="1" applyFont="1" applyBorder="1" applyAlignment="1">
      <alignment horizontal="center"/>
    </xf>
    <xf numFmtId="0" fontId="33" fillId="0" borderId="11" xfId="0" applyFont="1" applyBorder="1" applyAlignment="1">
      <alignment horizontal="left"/>
    </xf>
    <xf numFmtId="0" fontId="33" fillId="0" borderId="31" xfId="0" applyFont="1" applyBorder="1" applyAlignment="1">
      <alignment horizontal="center"/>
    </xf>
    <xf numFmtId="0" fontId="42" fillId="0" borderId="11" xfId="0" applyFont="1" applyBorder="1"/>
    <xf numFmtId="4" fontId="33" fillId="0" borderId="56" xfId="0" applyNumberFormat="1" applyFont="1" applyBorder="1" applyAlignment="1">
      <alignment horizontal="center"/>
    </xf>
    <xf numFmtId="0" fontId="44" fillId="0" borderId="20" xfId="0" applyFont="1" applyBorder="1"/>
    <xf numFmtId="0" fontId="44" fillId="0" borderId="20" xfId="0" applyFont="1" applyBorder="1" applyAlignment="1">
      <alignment horizontal="right"/>
    </xf>
    <xf numFmtId="4" fontId="44" fillId="13" borderId="77" xfId="3" applyNumberFormat="1" applyFont="1" applyFill="1" applyBorder="1"/>
    <xf numFmtId="43" fontId="33" fillId="4" borderId="83" xfId="0" applyNumberFormat="1" applyFont="1" applyFill="1" applyBorder="1"/>
    <xf numFmtId="43" fontId="33" fillId="4" borderId="68" xfId="0" applyNumberFormat="1" applyFont="1" applyFill="1" applyBorder="1"/>
    <xf numFmtId="0" fontId="43" fillId="0" borderId="2" xfId="0" applyFont="1" applyBorder="1"/>
    <xf numFmtId="43" fontId="33" fillId="6" borderId="54" xfId="0" applyNumberFormat="1" applyFont="1" applyFill="1" applyBorder="1"/>
    <xf numFmtId="43" fontId="22" fillId="3" borderId="68" xfId="0" applyNumberFormat="1" applyFont="1" applyFill="1" applyBorder="1"/>
    <xf numFmtId="0" fontId="43" fillId="0" borderId="19" xfId="0" applyFont="1" applyBorder="1"/>
    <xf numFmtId="1" fontId="15" fillId="0" borderId="3" xfId="1" applyNumberFormat="1" applyFont="1" applyBorder="1"/>
    <xf numFmtId="1" fontId="15" fillId="0" borderId="46" xfId="1" applyNumberFormat="1" applyFont="1" applyBorder="1"/>
    <xf numFmtId="1" fontId="33" fillId="0" borderId="46" xfId="0" applyNumberFormat="1" applyFont="1" applyBorder="1" applyAlignment="1">
      <alignment horizontal="center"/>
    </xf>
    <xf numFmtId="1" fontId="33" fillId="0" borderId="15" xfId="0" applyNumberFormat="1" applyFont="1" applyBorder="1" applyAlignment="1">
      <alignment horizontal="left"/>
    </xf>
    <xf numFmtId="3" fontId="42" fillId="0" borderId="46" xfId="1" applyNumberFormat="1" applyFont="1" applyBorder="1"/>
    <xf numFmtId="3" fontId="42" fillId="0" borderId="51" xfId="1" applyNumberFormat="1" applyFont="1" applyBorder="1"/>
    <xf numFmtId="3" fontId="41" fillId="0" borderId="15" xfId="0" applyNumberFormat="1" applyFont="1" applyBorder="1" applyAlignment="1">
      <alignment horizontal="left"/>
    </xf>
    <xf numFmtId="4" fontId="33" fillId="7" borderId="67" xfId="0" applyNumberFormat="1" applyFont="1" applyFill="1" applyBorder="1"/>
    <xf numFmtId="3" fontId="36" fillId="7" borderId="15" xfId="0" applyNumberFormat="1" applyFont="1" applyFill="1" applyBorder="1"/>
    <xf numFmtId="4" fontId="33" fillId="0" borderId="63" xfId="0" applyNumberFormat="1" applyFont="1" applyBorder="1" applyAlignment="1">
      <alignment horizontal="center"/>
    </xf>
    <xf numFmtId="4" fontId="0" fillId="0" borderId="0" xfId="0" applyNumberFormat="1"/>
    <xf numFmtId="1" fontId="33" fillId="0" borderId="13" xfId="0" applyNumberFormat="1" applyFont="1" applyBorder="1" applyAlignment="1">
      <alignment horizontal="center"/>
    </xf>
    <xf numFmtId="3" fontId="42" fillId="0" borderId="10" xfId="1" applyNumberFormat="1" applyFont="1" applyBorder="1"/>
    <xf numFmtId="3" fontId="42" fillId="0" borderId="11" xfId="1" applyNumberFormat="1" applyFont="1" applyBorder="1"/>
    <xf numFmtId="3" fontId="41" fillId="0" borderId="12" xfId="0" applyNumberFormat="1" applyFont="1" applyBorder="1" applyAlignment="1">
      <alignment horizontal="left"/>
    </xf>
    <xf numFmtId="4" fontId="33" fillId="7" borderId="23" xfId="0" applyNumberFormat="1" applyFont="1" applyFill="1" applyBorder="1"/>
    <xf numFmtId="3" fontId="36" fillId="7" borderId="70" xfId="0" applyNumberFormat="1" applyFont="1" applyFill="1" applyBorder="1"/>
    <xf numFmtId="4" fontId="33" fillId="0" borderId="84" xfId="0" applyNumberFormat="1" applyFont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32" xfId="0" applyFont="1" applyBorder="1" applyAlignment="1">
      <alignment horizontal="right"/>
    </xf>
    <xf numFmtId="3" fontId="44" fillId="4" borderId="58" xfId="3" applyNumberFormat="1" applyFont="1" applyFill="1" applyBorder="1"/>
    <xf numFmtId="3" fontId="33" fillId="16" borderId="72" xfId="0" applyNumberFormat="1" applyFont="1" applyFill="1" applyBorder="1"/>
    <xf numFmtId="3" fontId="33" fillId="16" borderId="34" xfId="0" applyNumberFormat="1" applyFont="1" applyFill="1" applyBorder="1"/>
    <xf numFmtId="0" fontId="44" fillId="0" borderId="85" xfId="0" applyFont="1" applyBorder="1" applyAlignment="1">
      <alignment horizontal="right"/>
    </xf>
    <xf numFmtId="3" fontId="33" fillId="6" borderId="54" xfId="0" applyNumberFormat="1" applyFont="1" applyFill="1" applyBorder="1"/>
    <xf numFmtId="3" fontId="22" fillId="3" borderId="68" xfId="0" applyNumberFormat="1" applyFont="1" applyFill="1" applyBorder="1"/>
    <xf numFmtId="0" fontId="43" fillId="0" borderId="86" xfId="0" applyFont="1" applyBorder="1"/>
    <xf numFmtId="165" fontId="0" fillId="0" borderId="0" xfId="1" applyFon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41" fillId="5" borderId="52" xfId="1" applyFont="1" applyFill="1" applyBorder="1"/>
    <xf numFmtId="165" fontId="0" fillId="0" borderId="0" xfId="0" applyNumberFormat="1"/>
    <xf numFmtId="3" fontId="23" fillId="0" borderId="66" xfId="14" applyNumberFormat="1" applyFont="1" applyBorder="1"/>
    <xf numFmtId="165" fontId="26" fillId="0" borderId="29" xfId="14" applyNumberFormat="1" applyFont="1" applyBorder="1"/>
    <xf numFmtId="165" fontId="6" fillId="0" borderId="0" xfId="14" applyNumberFormat="1" applyAlignment="1">
      <alignment horizontal="center"/>
    </xf>
    <xf numFmtId="43" fontId="21" fillId="6" borderId="37" xfId="0" applyNumberFormat="1" applyFont="1" applyFill="1" applyBorder="1" applyAlignment="1">
      <alignment horizontal="center" vertical="center" wrapText="1"/>
    </xf>
    <xf numFmtId="43" fontId="28" fillId="6" borderId="39" xfId="0" applyNumberFormat="1" applyFont="1" applyFill="1" applyBorder="1" applyAlignment="1">
      <alignment horizontal="center" vertical="center" wrapText="1"/>
    </xf>
    <xf numFmtId="43" fontId="15" fillId="3" borderId="38" xfId="0" applyNumberFormat="1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/>
    </xf>
    <xf numFmtId="1" fontId="15" fillId="0" borderId="15" xfId="0" applyNumberFormat="1" applyFont="1" applyBorder="1" applyAlignment="1">
      <alignment horizontal="left"/>
    </xf>
    <xf numFmtId="3" fontId="17" fillId="7" borderId="69" xfId="0" applyNumberFormat="1" applyFont="1" applyFill="1" applyBorder="1"/>
    <xf numFmtId="4" fontId="15" fillId="0" borderId="87" xfId="0" applyNumberFormat="1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32" xfId="0" applyFont="1" applyBorder="1" applyAlignment="1">
      <alignment horizontal="right"/>
    </xf>
    <xf numFmtId="0" fontId="20" fillId="0" borderId="85" xfId="0" applyFont="1" applyBorder="1" applyAlignment="1">
      <alignment horizontal="right"/>
    </xf>
    <xf numFmtId="3" fontId="21" fillId="6" borderId="59" xfId="0" applyNumberFormat="1" applyFont="1" applyFill="1" applyBorder="1"/>
    <xf numFmtId="3" fontId="34" fillId="6" borderId="54" xfId="0" applyNumberFormat="1" applyFont="1" applyFill="1" applyBorder="1"/>
    <xf numFmtId="3" fontId="34" fillId="6" borderId="73" xfId="0" applyNumberFormat="1" applyFont="1" applyFill="1" applyBorder="1"/>
    <xf numFmtId="3" fontId="34" fillId="3" borderId="68" xfId="0" applyNumberFormat="1" applyFont="1" applyFill="1" applyBorder="1"/>
    <xf numFmtId="0" fontId="0" fillId="0" borderId="86" xfId="0" applyBorder="1"/>
    <xf numFmtId="4" fontId="27" fillId="7" borderId="4" xfId="0" applyNumberFormat="1" applyFont="1" applyFill="1" applyBorder="1"/>
    <xf numFmtId="3" fontId="17" fillId="7" borderId="4" xfId="0" applyNumberFormat="1" applyFont="1" applyFill="1" applyBorder="1"/>
    <xf numFmtId="4" fontId="37" fillId="7" borderId="4" xfId="0" applyNumberFormat="1" applyFont="1" applyFill="1" applyBorder="1"/>
    <xf numFmtId="4" fontId="15" fillId="0" borderId="5" xfId="0" applyNumberFormat="1" applyFont="1" applyBorder="1" applyAlignment="1">
      <alignment horizontal="center"/>
    </xf>
    <xf numFmtId="3" fontId="17" fillId="7" borderId="1" xfId="0" applyNumberFormat="1" applyFont="1" applyFill="1" applyBorder="1"/>
    <xf numFmtId="4" fontId="27" fillId="7" borderId="1" xfId="0" applyNumberFormat="1" applyFont="1" applyFill="1" applyBorder="1"/>
    <xf numFmtId="4" fontId="37" fillId="7" borderId="1" xfId="0" applyNumberFormat="1" applyFont="1" applyFill="1" applyBorder="1"/>
    <xf numFmtId="4" fontId="15" fillId="0" borderId="14" xfId="0" applyNumberFormat="1" applyFont="1" applyBorder="1" applyAlignment="1">
      <alignment horizontal="center"/>
    </xf>
    <xf numFmtId="4" fontId="15" fillId="0" borderId="12" xfId="0" applyNumberFormat="1" applyFont="1" applyBorder="1" applyAlignment="1">
      <alignment horizontal="center"/>
    </xf>
    <xf numFmtId="164" fontId="17" fillId="5" borderId="52" xfId="1" applyNumberFormat="1" applyFont="1" applyFill="1" applyBorder="1"/>
    <xf numFmtId="3" fontId="18" fillId="0" borderId="13" xfId="1" applyNumberFormat="1" applyFont="1" applyBorder="1"/>
    <xf numFmtId="4" fontId="27" fillId="7" borderId="26" xfId="0" applyNumberFormat="1" applyFont="1" applyFill="1" applyBorder="1"/>
    <xf numFmtId="4" fontId="37" fillId="7" borderId="26" xfId="0" applyNumberFormat="1" applyFont="1" applyFill="1" applyBorder="1"/>
    <xf numFmtId="3" fontId="16" fillId="11" borderId="77" xfId="3" applyNumberFormat="1" applyFont="1" applyFill="1" applyBorder="1"/>
    <xf numFmtId="1" fontId="15" fillId="0" borderId="46" xfId="0" applyNumberFormat="1" applyFont="1" applyBorder="1" applyAlignment="1">
      <alignment horizontal="center"/>
    </xf>
    <xf numFmtId="3" fontId="18" fillId="0" borderId="67" xfId="1" applyNumberFormat="1" applyFont="1" applyBorder="1"/>
    <xf numFmtId="3" fontId="18" fillId="0" borderId="51" xfId="1" applyNumberFormat="1" applyFont="1" applyBorder="1"/>
    <xf numFmtId="3" fontId="32" fillId="0" borderId="66" xfId="0" applyNumberFormat="1" applyFont="1" applyBorder="1" applyAlignment="1">
      <alignment horizontal="left"/>
    </xf>
    <xf numFmtId="4" fontId="14" fillId="7" borderId="46" xfId="0" applyNumberFormat="1" applyFont="1" applyFill="1" applyBorder="1"/>
    <xf numFmtId="4" fontId="15" fillId="0" borderId="63" xfId="0" applyNumberFormat="1" applyFont="1" applyBorder="1" applyAlignment="1">
      <alignment horizontal="center"/>
    </xf>
    <xf numFmtId="4" fontId="14" fillId="7" borderId="65" xfId="0" applyNumberFormat="1" applyFont="1" applyFill="1" applyBorder="1"/>
    <xf numFmtId="4" fontId="14" fillId="7" borderId="23" xfId="0" applyNumberFormat="1" applyFont="1" applyFill="1" applyBorder="1"/>
    <xf numFmtId="3" fontId="21" fillId="6" borderId="60" xfId="0" applyNumberFormat="1" applyFont="1" applyFill="1" applyBorder="1"/>
    <xf numFmtId="3" fontId="18" fillId="0" borderId="5" xfId="1" applyNumberFormat="1" applyFont="1" applyBorder="1"/>
    <xf numFmtId="3" fontId="18" fillId="0" borderId="14" xfId="1" applyNumberFormat="1" applyFont="1" applyBorder="1"/>
    <xf numFmtId="3" fontId="18" fillId="0" borderId="70" xfId="1" applyNumberFormat="1" applyFont="1" applyBorder="1"/>
    <xf numFmtId="0" fontId="15" fillId="0" borderId="50" xfId="14" applyFont="1" applyBorder="1" applyAlignment="1">
      <alignment horizontal="left"/>
    </xf>
    <xf numFmtId="0" fontId="15" fillId="0" borderId="66" xfId="14" applyFont="1" applyBorder="1" applyAlignment="1">
      <alignment horizontal="left"/>
    </xf>
    <xf numFmtId="0" fontId="15" fillId="0" borderId="76" xfId="14" applyFont="1" applyBorder="1" applyAlignment="1">
      <alignment horizontal="left"/>
    </xf>
    <xf numFmtId="0" fontId="17" fillId="0" borderId="51" xfId="14" applyFont="1" applyBorder="1" applyAlignment="1">
      <alignment horizontal="left"/>
    </xf>
    <xf numFmtId="0" fontId="17" fillId="0" borderId="66" xfId="14" applyFont="1" applyBorder="1" applyAlignment="1">
      <alignment horizontal="center"/>
    </xf>
    <xf numFmtId="3" fontId="45" fillId="0" borderId="66" xfId="14" applyNumberFormat="1" applyFont="1" applyBorder="1"/>
    <xf numFmtId="4" fontId="14" fillId="0" borderId="89" xfId="14" applyNumberFormat="1" applyFont="1" applyBorder="1"/>
    <xf numFmtId="165" fontId="22" fillId="8" borderId="90" xfId="14" applyNumberFormat="1" applyFont="1" applyFill="1" applyBorder="1"/>
    <xf numFmtId="4" fontId="16" fillId="8" borderId="91" xfId="3" applyNumberFormat="1" applyFont="1" applyFill="1" applyBorder="1"/>
    <xf numFmtId="0" fontId="22" fillId="0" borderId="19" xfId="14" applyFont="1" applyBorder="1"/>
    <xf numFmtId="1" fontId="15" fillId="0" borderId="65" xfId="0" applyNumberFormat="1" applyFont="1" applyBorder="1" applyAlignment="1">
      <alignment horizontal="center"/>
    </xf>
    <xf numFmtId="1" fontId="15" fillId="0" borderId="23" xfId="0" applyNumberFormat="1" applyFont="1" applyBorder="1" applyAlignment="1">
      <alignment horizontal="center"/>
    </xf>
    <xf numFmtId="1" fontId="15" fillId="0" borderId="22" xfId="0" applyNumberFormat="1" applyFont="1" applyBorder="1" applyAlignment="1">
      <alignment horizontal="center"/>
    </xf>
    <xf numFmtId="165" fontId="16" fillId="11" borderId="77" xfId="1" applyFont="1" applyFill="1" applyBorder="1"/>
    <xf numFmtId="165" fontId="15" fillId="0" borderId="55" xfId="1" applyFont="1" applyBorder="1" applyAlignment="1">
      <alignment horizontal="left"/>
    </xf>
    <xf numFmtId="165" fontId="15" fillId="0" borderId="52" xfId="1" applyFont="1" applyBorder="1" applyAlignment="1">
      <alignment horizontal="left"/>
    </xf>
    <xf numFmtId="165" fontId="15" fillId="0" borderId="27" xfId="1" applyFont="1" applyBorder="1" applyAlignment="1">
      <alignment horizontal="left"/>
    </xf>
    <xf numFmtId="165" fontId="12" fillId="0" borderId="51" xfId="15" applyFont="1" applyBorder="1"/>
    <xf numFmtId="3" fontId="12" fillId="0" borderId="50" xfId="14" applyNumberFormat="1" applyFont="1" applyBorder="1"/>
    <xf numFmtId="3" fontId="12" fillId="0" borderId="66" xfId="14" applyNumberFormat="1" applyFont="1" applyBorder="1"/>
    <xf numFmtId="3" fontId="32" fillId="0" borderId="13" xfId="0" applyNumberFormat="1" applyFont="1" applyBorder="1" applyAlignment="1">
      <alignment horizontal="left"/>
    </xf>
    <xf numFmtId="3" fontId="32" fillId="0" borderId="1" xfId="0" applyNumberFormat="1" applyFont="1" applyBorder="1" applyAlignment="1">
      <alignment horizontal="left"/>
    </xf>
    <xf numFmtId="3" fontId="32" fillId="0" borderId="14" xfId="0" applyNumberFormat="1" applyFont="1" applyBorder="1" applyAlignment="1">
      <alignment horizontal="left"/>
    </xf>
    <xf numFmtId="3" fontId="32" fillId="0" borderId="13" xfId="0" applyNumberFormat="1" applyFont="1" applyBorder="1" applyAlignment="1">
      <alignment horizontal="left" wrapText="1"/>
    </xf>
    <xf numFmtId="3" fontId="32" fillId="0" borderId="1" xfId="0" applyNumberFormat="1" applyFont="1" applyBorder="1" applyAlignment="1">
      <alignment horizontal="left" wrapText="1"/>
    </xf>
    <xf numFmtId="3" fontId="32" fillId="0" borderId="14" xfId="0" applyNumberFormat="1" applyFont="1" applyBorder="1" applyAlignment="1">
      <alignment horizontal="left" wrapText="1"/>
    </xf>
    <xf numFmtId="3" fontId="32" fillId="7" borderId="13" xfId="0" applyNumberFormat="1" applyFont="1" applyFill="1" applyBorder="1" applyAlignment="1">
      <alignment horizontal="left"/>
    </xf>
    <xf numFmtId="3" fontId="32" fillId="7" borderId="1" xfId="0" applyNumberFormat="1" applyFont="1" applyFill="1" applyBorder="1" applyAlignment="1">
      <alignment horizontal="left"/>
    </xf>
    <xf numFmtId="3" fontId="32" fillId="7" borderId="14" xfId="0" applyNumberFormat="1" applyFont="1" applyFill="1" applyBorder="1" applyAlignment="1">
      <alignment horizontal="left"/>
    </xf>
    <xf numFmtId="3" fontId="16" fillId="11" borderId="58" xfId="3" applyNumberFormat="1" applyFont="1" applyFill="1" applyBorder="1"/>
    <xf numFmtId="3" fontId="14" fillId="0" borderId="59" xfId="0" applyNumberFormat="1" applyFont="1" applyBorder="1" applyAlignment="1">
      <alignment horizontal="center"/>
    </xf>
    <xf numFmtId="164" fontId="47" fillId="0" borderId="0" xfId="0" applyNumberFormat="1" applyFont="1" applyAlignment="1">
      <alignment horizontal="center"/>
    </xf>
    <xf numFmtId="4" fontId="15" fillId="7" borderId="57" xfId="0" applyNumberFormat="1" applyFont="1" applyFill="1" applyBorder="1" applyAlignment="1">
      <alignment horizontal="center"/>
    </xf>
    <xf numFmtId="4" fontId="16" fillId="8" borderId="92" xfId="3" applyNumberFormat="1" applyFont="1" applyFill="1" applyBorder="1"/>
    <xf numFmtId="4" fontId="16" fillId="8" borderId="93" xfId="3" applyNumberFormat="1" applyFont="1" applyFill="1" applyBorder="1"/>
    <xf numFmtId="1" fontId="17" fillId="19" borderId="13" xfId="0" applyNumberFormat="1" applyFont="1" applyFill="1" applyBorder="1" applyAlignment="1">
      <alignment horizontal="center"/>
    </xf>
    <xf numFmtId="1" fontId="17" fillId="19" borderId="14" xfId="0" applyNumberFormat="1" applyFont="1" applyFill="1" applyBorder="1"/>
    <xf numFmtId="164" fontId="17" fillId="19" borderId="29" xfId="1" applyNumberFormat="1" applyFont="1" applyFill="1" applyBorder="1"/>
    <xf numFmtId="3" fontId="32" fillId="19" borderId="13" xfId="0" applyNumberFormat="1" applyFont="1" applyFill="1" applyBorder="1" applyAlignment="1">
      <alignment horizontal="left"/>
    </xf>
    <xf numFmtId="3" fontId="32" fillId="19" borderId="1" xfId="0" applyNumberFormat="1" applyFont="1" applyFill="1" applyBorder="1" applyAlignment="1">
      <alignment horizontal="left"/>
    </xf>
    <xf numFmtId="3" fontId="32" fillId="19" borderId="14" xfId="0" applyNumberFormat="1" applyFont="1" applyFill="1" applyBorder="1" applyAlignment="1">
      <alignment horizontal="left"/>
    </xf>
    <xf numFmtId="4" fontId="14" fillId="19" borderId="13" xfId="0" applyNumberFormat="1" applyFont="1" applyFill="1" applyBorder="1"/>
    <xf numFmtId="4" fontId="37" fillId="19" borderId="48" xfId="0" applyNumberFormat="1" applyFont="1" applyFill="1" applyBorder="1"/>
    <xf numFmtId="3" fontId="17" fillId="19" borderId="46" xfId="0" applyNumberFormat="1" applyFont="1" applyFill="1" applyBorder="1"/>
    <xf numFmtId="4" fontId="27" fillId="19" borderId="51" xfId="0" applyNumberFormat="1" applyFont="1" applyFill="1" applyBorder="1"/>
    <xf numFmtId="4" fontId="37" fillId="19" borderId="15" xfId="0" applyNumberFormat="1" applyFont="1" applyFill="1" applyBorder="1"/>
    <xf numFmtId="4" fontId="15" fillId="19" borderId="57" xfId="0" applyNumberFormat="1" applyFont="1" applyFill="1" applyBorder="1" applyAlignment="1">
      <alignment horizontal="center"/>
    </xf>
    <xf numFmtId="0" fontId="1" fillId="0" borderId="0" xfId="25"/>
    <xf numFmtId="43" fontId="14" fillId="9" borderId="11" xfId="25" applyNumberFormat="1" applyFont="1" applyFill="1" applyBorder="1" applyAlignment="1">
      <alignment horizontal="center" vertical="center" wrapText="1"/>
    </xf>
    <xf numFmtId="0" fontId="15" fillId="9" borderId="12" xfId="25" applyFont="1" applyFill="1" applyBorder="1" applyAlignment="1">
      <alignment horizontal="center" vertical="center" wrapText="1"/>
    </xf>
    <xf numFmtId="0" fontId="28" fillId="8" borderId="10" xfId="25" applyFont="1" applyFill="1" applyBorder="1" applyAlignment="1">
      <alignment horizontal="center" vertical="center" wrapText="1"/>
    </xf>
    <xf numFmtId="0" fontId="28" fillId="8" borderId="31" xfId="25" applyFont="1" applyFill="1" applyBorder="1" applyAlignment="1">
      <alignment horizontal="center" vertical="center" wrapText="1"/>
    </xf>
    <xf numFmtId="0" fontId="24" fillId="8" borderId="10" xfId="25" applyFont="1" applyFill="1" applyBorder="1" applyAlignment="1">
      <alignment horizontal="center" vertical="center" wrapText="1"/>
    </xf>
    <xf numFmtId="43" fontId="14" fillId="6" borderId="10" xfId="25" applyNumberFormat="1" applyFont="1" applyFill="1" applyBorder="1" applyAlignment="1">
      <alignment horizontal="center" vertical="center" wrapText="1"/>
    </xf>
    <xf numFmtId="43" fontId="14" fillId="8" borderId="11" xfId="25" applyNumberFormat="1" applyFont="1" applyFill="1" applyBorder="1" applyAlignment="1">
      <alignment horizontal="center" vertical="center" wrapText="1"/>
    </xf>
    <xf numFmtId="43" fontId="14" fillId="8" borderId="12" xfId="25" applyNumberFormat="1" applyFont="1" applyFill="1" applyBorder="1" applyAlignment="1">
      <alignment horizontal="center" vertical="center" wrapText="1"/>
    </xf>
    <xf numFmtId="0" fontId="15" fillId="0" borderId="46" xfId="25" applyFont="1" applyBorder="1" applyAlignment="1">
      <alignment horizontal="center"/>
    </xf>
    <xf numFmtId="0" fontId="15" fillId="0" borderId="51" xfId="25" applyFont="1" applyBorder="1" applyAlignment="1">
      <alignment horizontal="left"/>
    </xf>
    <xf numFmtId="0" fontId="15" fillId="0" borderId="15" xfId="25" applyFont="1" applyBorder="1" applyAlignment="1">
      <alignment horizontal="center"/>
    </xf>
    <xf numFmtId="165" fontId="15" fillId="10" borderId="14" xfId="1" applyFont="1" applyFill="1" applyBorder="1"/>
    <xf numFmtId="165" fontId="12" fillId="0" borderId="1" xfId="26" applyFont="1" applyBorder="1"/>
    <xf numFmtId="165" fontId="12" fillId="0" borderId="4" xfId="26" applyFont="1" applyBorder="1"/>
    <xf numFmtId="165" fontId="12" fillId="0" borderId="1" xfId="25" applyNumberFormat="1" applyFont="1" applyBorder="1"/>
    <xf numFmtId="3" fontId="12" fillId="0" borderId="5" xfId="25" applyNumberFormat="1" applyFont="1" applyBorder="1"/>
    <xf numFmtId="165" fontId="29" fillId="7" borderId="55" xfId="25" applyNumberFormat="1" applyFont="1" applyFill="1" applyBorder="1"/>
    <xf numFmtId="165" fontId="29" fillId="0" borderId="7" xfId="25" applyNumberFormat="1" applyFont="1" applyBorder="1"/>
    <xf numFmtId="165" fontId="1" fillId="10" borderId="55" xfId="25" applyNumberFormat="1" applyFill="1" applyBorder="1"/>
    <xf numFmtId="165" fontId="30" fillId="0" borderId="13" xfId="25" applyNumberFormat="1" applyFont="1" applyBorder="1"/>
    <xf numFmtId="165" fontId="26" fillId="0" borderId="1" xfId="25" applyNumberFormat="1" applyFont="1" applyBorder="1"/>
    <xf numFmtId="165" fontId="26" fillId="0" borderId="14" xfId="25" applyNumberFormat="1" applyFont="1" applyBorder="1"/>
    <xf numFmtId="0" fontId="22" fillId="0" borderId="52" xfId="25" applyFont="1" applyBorder="1"/>
    <xf numFmtId="0" fontId="15" fillId="0" borderId="13" xfId="25" applyFont="1" applyBorder="1" applyAlignment="1">
      <alignment horizontal="center"/>
    </xf>
    <xf numFmtId="0" fontId="15" fillId="0" borderId="1" xfId="25" applyFont="1" applyBorder="1" applyAlignment="1">
      <alignment horizontal="left"/>
    </xf>
    <xf numFmtId="0" fontId="15" fillId="0" borderId="14" xfId="25" applyFont="1" applyBorder="1" applyAlignment="1">
      <alignment horizontal="center"/>
    </xf>
    <xf numFmtId="3" fontId="12" fillId="0" borderId="14" xfId="25" applyNumberFormat="1" applyFont="1" applyBorder="1"/>
    <xf numFmtId="165" fontId="29" fillId="7" borderId="29" xfId="25" applyNumberFormat="1" applyFont="1" applyFill="1" applyBorder="1"/>
    <xf numFmtId="165" fontId="29" fillId="0" borderId="49" xfId="25" applyNumberFormat="1" applyFont="1" applyBorder="1"/>
    <xf numFmtId="165" fontId="1" fillId="10" borderId="29" xfId="25" applyNumberFormat="1" applyFill="1" applyBorder="1"/>
    <xf numFmtId="0" fontId="15" fillId="7" borderId="13" xfId="25" applyFont="1" applyFill="1" applyBorder="1" applyAlignment="1">
      <alignment horizontal="center"/>
    </xf>
    <xf numFmtId="0" fontId="15" fillId="7" borderId="1" xfId="25" applyFont="1" applyFill="1" applyBorder="1" applyAlignment="1">
      <alignment horizontal="left"/>
    </xf>
    <xf numFmtId="0" fontId="15" fillId="7" borderId="14" xfId="25" applyFont="1" applyFill="1" applyBorder="1" applyAlignment="1">
      <alignment horizontal="center"/>
    </xf>
    <xf numFmtId="3" fontId="12" fillId="7" borderId="14" xfId="25" applyNumberFormat="1" applyFont="1" applyFill="1" applyBorder="1"/>
    <xf numFmtId="165" fontId="29" fillId="7" borderId="94" xfId="25" applyNumberFormat="1" applyFont="1" applyFill="1" applyBorder="1"/>
    <xf numFmtId="0" fontId="20" fillId="0" borderId="20" xfId="25" applyFont="1" applyBorder="1" applyAlignment="1">
      <alignment horizontal="center"/>
    </xf>
    <xf numFmtId="0" fontId="20" fillId="0" borderId="20" xfId="25" applyFont="1" applyBorder="1"/>
    <xf numFmtId="0" fontId="20" fillId="0" borderId="32" xfId="25" applyFont="1" applyBorder="1" applyAlignment="1">
      <alignment horizontal="right"/>
    </xf>
    <xf numFmtId="165" fontId="16" fillId="8" borderId="18" xfId="25" applyNumberFormat="1" applyFont="1" applyFill="1" applyBorder="1"/>
    <xf numFmtId="165" fontId="15" fillId="11" borderId="34" xfId="25" applyNumberFormat="1" applyFont="1" applyFill="1" applyBorder="1"/>
    <xf numFmtId="165" fontId="15" fillId="11" borderId="35" xfId="25" applyNumberFormat="1" applyFont="1" applyFill="1" applyBorder="1"/>
    <xf numFmtId="4" fontId="14" fillId="0" borderId="2" xfId="25" applyNumberFormat="1" applyFont="1" applyBorder="1"/>
    <xf numFmtId="166" fontId="27" fillId="12" borderId="33" xfId="25" applyNumberFormat="1" applyFont="1" applyFill="1" applyBorder="1"/>
    <xf numFmtId="165" fontId="27" fillId="12" borderId="53" xfId="25" applyNumberFormat="1" applyFont="1" applyFill="1" applyBorder="1"/>
    <xf numFmtId="165" fontId="22" fillId="8" borderId="33" xfId="25" applyNumberFormat="1" applyFont="1" applyFill="1" applyBorder="1"/>
    <xf numFmtId="165" fontId="22" fillId="8" borderId="17" xfId="26" applyFont="1" applyFill="1" applyBorder="1"/>
    <xf numFmtId="165" fontId="22" fillId="8" borderId="36" xfId="26" applyFont="1" applyFill="1" applyBorder="1"/>
    <xf numFmtId="0" fontId="22" fillId="0" borderId="19" xfId="25" applyFont="1" applyBorder="1"/>
    <xf numFmtId="0" fontId="1" fillId="0" borderId="0" xfId="25" applyAlignment="1">
      <alignment horizontal="center"/>
    </xf>
    <xf numFmtId="165" fontId="1" fillId="0" borderId="0" xfId="25" applyNumberFormat="1"/>
    <xf numFmtId="165" fontId="1" fillId="0" borderId="0" xfId="1" applyFont="1"/>
    <xf numFmtId="165" fontId="1" fillId="0" borderId="0" xfId="25" applyNumberFormat="1" applyAlignment="1">
      <alignment horizontal="center"/>
    </xf>
    <xf numFmtId="4" fontId="1" fillId="0" borderId="0" xfId="25" applyNumberFormat="1"/>
    <xf numFmtId="0" fontId="21" fillId="4" borderId="55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49" fillId="13" borderId="10" xfId="0" applyFont="1" applyFill="1" applyBorder="1" applyAlignment="1">
      <alignment horizontal="center" vertical="center" wrapText="1"/>
    </xf>
    <xf numFmtId="0" fontId="49" fillId="13" borderId="11" xfId="0" applyFont="1" applyFill="1" applyBorder="1" applyAlignment="1">
      <alignment horizontal="center" vertical="center" wrapText="1"/>
    </xf>
    <xf numFmtId="0" fontId="21" fillId="13" borderId="12" xfId="0" applyFont="1" applyFill="1" applyBorder="1" applyAlignment="1">
      <alignment horizontal="center" vertical="center" wrapText="1"/>
    </xf>
    <xf numFmtId="43" fontId="21" fillId="4" borderId="94" xfId="0" applyNumberFormat="1" applyFont="1" applyFill="1" applyBorder="1" applyAlignment="1">
      <alignment horizontal="center" vertical="center" wrapText="1"/>
    </xf>
    <xf numFmtId="43" fontId="21" fillId="3" borderId="56" xfId="0" applyNumberFormat="1" applyFont="1" applyFill="1" applyBorder="1" applyAlignment="1">
      <alignment horizontal="center" vertical="center" wrapText="1"/>
    </xf>
    <xf numFmtId="0" fontId="21" fillId="6" borderId="56" xfId="0" applyFont="1" applyFill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165" fontId="15" fillId="0" borderId="13" xfId="1" applyFont="1" applyFill="1" applyBorder="1" applyAlignment="1">
      <alignment vertical="center"/>
    </xf>
    <xf numFmtId="165" fontId="15" fillId="5" borderId="14" xfId="1" applyFont="1" applyFill="1" applyBorder="1" applyAlignment="1">
      <alignment horizontal="right" vertical="center"/>
    </xf>
    <xf numFmtId="165" fontId="15" fillId="0" borderId="29" xfId="1" applyFont="1" applyFill="1" applyBorder="1" applyAlignment="1">
      <alignment vertical="center"/>
    </xf>
    <xf numFmtId="3" fontId="46" fillId="0" borderId="57" xfId="3" applyNumberFormat="1" applyFont="1" applyFill="1" applyBorder="1" applyAlignment="1">
      <alignment vertical="center"/>
    </xf>
    <xf numFmtId="4" fontId="15" fillId="0" borderId="57" xfId="0" applyNumberFormat="1" applyFont="1" applyBorder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0" fontId="19" fillId="0" borderId="20" xfId="0" applyFont="1" applyBorder="1" applyAlignment="1">
      <alignment vertical="center"/>
    </xf>
    <xf numFmtId="0" fontId="20" fillId="0" borderId="20" xfId="0" applyFont="1" applyBorder="1" applyAlignment="1">
      <alignment horizontal="right" vertical="center"/>
    </xf>
    <xf numFmtId="165" fontId="16" fillId="5" borderId="33" xfId="1" applyFont="1" applyFill="1" applyBorder="1" applyAlignment="1">
      <alignment vertical="center"/>
    </xf>
    <xf numFmtId="165" fontId="15" fillId="5" borderId="34" xfId="1" applyFont="1" applyFill="1" applyBorder="1" applyAlignment="1">
      <alignment vertical="center"/>
    </xf>
    <xf numFmtId="165" fontId="21" fillId="13" borderId="35" xfId="1" applyFont="1" applyFill="1" applyBorder="1" applyAlignment="1">
      <alignment horizontal="right" vertical="center"/>
    </xf>
    <xf numFmtId="165" fontId="21" fillId="4" borderId="58" xfId="1" applyFont="1" applyFill="1" applyBorder="1" applyAlignment="1">
      <alignment vertical="center"/>
    </xf>
    <xf numFmtId="165" fontId="34" fillId="3" borderId="95" xfId="1" applyFont="1" applyFill="1" applyBorder="1" applyAlignment="1">
      <alignment vertical="center"/>
    </xf>
    <xf numFmtId="0" fontId="19" fillId="0" borderId="0" xfId="0" applyFont="1"/>
    <xf numFmtId="165" fontId="19" fillId="0" borderId="0" xfId="0" applyNumberFormat="1" applyFont="1" applyAlignment="1">
      <alignment horizontal="right"/>
    </xf>
    <xf numFmtId="165" fontId="19" fillId="0" borderId="0" xfId="1" applyFont="1" applyAlignment="1">
      <alignment horizontal="right"/>
    </xf>
    <xf numFmtId="165" fontId="19" fillId="0" borderId="0" xfId="0" applyNumberFormat="1" applyFont="1"/>
    <xf numFmtId="0" fontId="19" fillId="0" borderId="0" xfId="0" applyFont="1" applyAlignment="1">
      <alignment horizontal="right"/>
    </xf>
    <xf numFmtId="0" fontId="19" fillId="18" borderId="0" xfId="0" applyFont="1" applyFill="1" applyAlignment="1">
      <alignment horizontal="right"/>
    </xf>
    <xf numFmtId="4" fontId="27" fillId="19" borderId="57" xfId="0" applyNumberFormat="1" applyFont="1" applyFill="1" applyBorder="1" applyAlignment="1">
      <alignment horizontal="center" wrapText="1"/>
    </xf>
    <xf numFmtId="43" fontId="15" fillId="6" borderId="69" xfId="0" applyNumberFormat="1" applyFont="1" applyFill="1" applyBorder="1" applyAlignment="1">
      <alignment horizontal="center" vertical="center" wrapText="1"/>
    </xf>
    <xf numFmtId="43" fontId="15" fillId="6" borderId="46" xfId="0" applyNumberFormat="1" applyFont="1" applyFill="1" applyBorder="1" applyAlignment="1">
      <alignment horizontal="center" vertical="center" wrapText="1"/>
    </xf>
    <xf numFmtId="43" fontId="21" fillId="3" borderId="74" xfId="0" applyNumberFormat="1" applyFont="1" applyFill="1" applyBorder="1" applyAlignment="1">
      <alignment horizontal="center" vertical="center" wrapText="1"/>
    </xf>
    <xf numFmtId="43" fontId="21" fillId="3" borderId="66" xfId="0" applyNumberFormat="1" applyFont="1" applyFill="1" applyBorder="1" applyAlignment="1">
      <alignment horizontal="center" vertical="center" wrapText="1"/>
    </xf>
    <xf numFmtId="43" fontId="21" fillId="3" borderId="13" xfId="0" applyNumberFormat="1" applyFont="1" applyFill="1" applyBorder="1" applyAlignment="1">
      <alignment horizontal="center" vertical="center" wrapText="1"/>
    </xf>
    <xf numFmtId="43" fontId="21" fillId="3" borderId="1" xfId="0" applyNumberFormat="1" applyFont="1" applyFill="1" applyBorder="1" applyAlignment="1">
      <alignment horizontal="center" vertical="center" wrapText="1"/>
    </xf>
    <xf numFmtId="43" fontId="21" fillId="3" borderId="14" xfId="0" applyNumberFormat="1" applyFont="1" applyFill="1" applyBorder="1" applyAlignment="1">
      <alignment horizontal="center" vertical="center" wrapText="1"/>
    </xf>
    <xf numFmtId="0" fontId="14" fillId="6" borderId="7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0" fontId="20" fillId="0" borderId="61" xfId="0" applyFont="1" applyBorder="1" applyAlignment="1">
      <alignment horizontal="center"/>
    </xf>
    <xf numFmtId="0" fontId="15" fillId="11" borderId="40" xfId="0" applyFont="1" applyFill="1" applyBorder="1" applyAlignment="1">
      <alignment horizontal="center" vertical="center" wrapText="1"/>
    </xf>
    <xf numFmtId="0" fontId="15" fillId="11" borderId="43" xfId="0" applyFont="1" applyFill="1" applyBorder="1" applyAlignment="1">
      <alignment horizontal="center" vertical="center" wrapText="1"/>
    </xf>
    <xf numFmtId="0" fontId="15" fillId="11" borderId="37" xfId="0" applyFont="1" applyFill="1" applyBorder="1" applyAlignment="1">
      <alignment horizontal="center" vertical="center" wrapText="1"/>
    </xf>
    <xf numFmtId="0" fontId="15" fillId="11" borderId="41" xfId="0" applyFont="1" applyFill="1" applyBorder="1" applyAlignment="1">
      <alignment horizontal="center" vertical="center" wrapText="1"/>
    </xf>
    <xf numFmtId="0" fontId="15" fillId="11" borderId="42" xfId="0" applyFont="1" applyFill="1" applyBorder="1" applyAlignment="1">
      <alignment horizontal="center" vertical="center" wrapText="1"/>
    </xf>
    <xf numFmtId="0" fontId="15" fillId="11" borderId="38" xfId="0" applyFont="1" applyFill="1" applyBorder="1" applyAlignment="1">
      <alignment horizontal="center" vertical="center" wrapText="1"/>
    </xf>
    <xf numFmtId="0" fontId="15" fillId="8" borderId="60" xfId="0" applyFont="1" applyFill="1" applyBorder="1" applyAlignment="1">
      <alignment horizontal="center" vertical="center" wrapText="1"/>
    </xf>
    <xf numFmtId="0" fontId="15" fillId="8" borderId="61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1" borderId="27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24" fillId="17" borderId="7" xfId="0" applyFont="1" applyFill="1" applyBorder="1" applyAlignment="1">
      <alignment horizontal="center" vertical="center" wrapText="1"/>
    </xf>
    <xf numFmtId="0" fontId="24" fillId="17" borderId="8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/>
    </xf>
    <xf numFmtId="0" fontId="22" fillId="6" borderId="7" xfId="0" applyFont="1" applyFill="1" applyBorder="1" applyAlignment="1">
      <alignment horizontal="center"/>
    </xf>
    <xf numFmtId="0" fontId="22" fillId="6" borderId="20" xfId="0" applyFont="1" applyFill="1" applyBorder="1" applyAlignment="1">
      <alignment horizontal="center"/>
    </xf>
    <xf numFmtId="0" fontId="22" fillId="6" borderId="8" xfId="0" applyFont="1" applyFill="1" applyBorder="1" applyAlignment="1">
      <alignment horizontal="center"/>
    </xf>
    <xf numFmtId="43" fontId="24" fillId="17" borderId="69" xfId="0" applyNumberFormat="1" applyFont="1" applyFill="1" applyBorder="1" applyAlignment="1">
      <alignment horizontal="center" vertical="center" wrapText="1"/>
    </xf>
    <xf numFmtId="43" fontId="24" fillId="17" borderId="37" xfId="0" applyNumberFormat="1" applyFont="1" applyFill="1" applyBorder="1" applyAlignment="1">
      <alignment horizontal="center" vertical="center" wrapText="1"/>
    </xf>
    <xf numFmtId="43" fontId="24" fillId="17" borderId="26" xfId="0" applyNumberFormat="1" applyFont="1" applyFill="1" applyBorder="1" applyAlignment="1">
      <alignment horizontal="center" vertical="center" wrapText="1"/>
    </xf>
    <xf numFmtId="43" fontId="24" fillId="17" borderId="39" xfId="0" applyNumberFormat="1" applyFont="1" applyFill="1" applyBorder="1" applyAlignment="1">
      <alignment horizontal="center" vertical="center" wrapText="1"/>
    </xf>
    <xf numFmtId="43" fontId="24" fillId="17" borderId="70" xfId="0" applyNumberFormat="1" applyFont="1" applyFill="1" applyBorder="1" applyAlignment="1">
      <alignment horizontal="center" vertical="center" wrapText="1"/>
    </xf>
    <xf numFmtId="43" fontId="24" fillId="17" borderId="38" xfId="0" applyNumberFormat="1" applyFont="1" applyFill="1" applyBorder="1" applyAlignment="1">
      <alignment horizontal="center" vertical="center" wrapText="1"/>
    </xf>
    <xf numFmtId="0" fontId="25" fillId="8" borderId="6" xfId="8" applyFont="1" applyFill="1" applyBorder="1" applyAlignment="1">
      <alignment horizontal="center"/>
    </xf>
    <xf numFmtId="0" fontId="25" fillId="8" borderId="7" xfId="8" applyFont="1" applyFill="1" applyBorder="1" applyAlignment="1">
      <alignment horizontal="center"/>
    </xf>
    <xf numFmtId="0" fontId="25" fillId="8" borderId="8" xfId="8" applyFont="1" applyFill="1" applyBorder="1" applyAlignment="1">
      <alignment horizontal="center"/>
    </xf>
    <xf numFmtId="0" fontId="15" fillId="9" borderId="30" xfId="8" applyFont="1" applyFill="1" applyBorder="1" applyAlignment="1">
      <alignment horizontal="center" vertical="center" wrapText="1"/>
    </xf>
    <xf numFmtId="0" fontId="15" fillId="9" borderId="49" xfId="8" applyFont="1" applyFill="1" applyBorder="1" applyAlignment="1">
      <alignment horizontal="center" vertical="center" wrapText="1"/>
    </xf>
    <xf numFmtId="0" fontId="15" fillId="9" borderId="45" xfId="8" applyFont="1" applyFill="1" applyBorder="1" applyAlignment="1">
      <alignment horizontal="center" vertical="center" wrapText="1"/>
    </xf>
    <xf numFmtId="0" fontId="15" fillId="8" borderId="30" xfId="8" applyFont="1" applyFill="1" applyBorder="1" applyAlignment="1">
      <alignment horizontal="center" vertical="center" wrapText="1"/>
    </xf>
    <xf numFmtId="0" fontId="15" fillId="8" borderId="49" xfId="8" applyFont="1" applyFill="1" applyBorder="1" applyAlignment="1">
      <alignment horizontal="center" vertical="center" wrapText="1"/>
    </xf>
    <xf numFmtId="0" fontId="15" fillId="8" borderId="45" xfId="8" applyFont="1" applyFill="1" applyBorder="1" applyAlignment="1">
      <alignment horizontal="center" vertical="center" wrapText="1"/>
    </xf>
    <xf numFmtId="0" fontId="22" fillId="6" borderId="27" xfId="8" applyFont="1" applyFill="1" applyBorder="1" applyAlignment="1">
      <alignment horizontal="center" vertical="center"/>
    </xf>
    <xf numFmtId="0" fontId="22" fillId="6" borderId="9" xfId="8" applyFont="1" applyFill="1" applyBorder="1" applyAlignment="1">
      <alignment horizontal="center" vertical="center"/>
    </xf>
    <xf numFmtId="0" fontId="21" fillId="4" borderId="40" xfId="8" applyFont="1" applyFill="1" applyBorder="1" applyAlignment="1">
      <alignment horizontal="center" vertical="center" wrapText="1"/>
    </xf>
    <xf numFmtId="0" fontId="21" fillId="4" borderId="43" xfId="8" applyFont="1" applyFill="1" applyBorder="1" applyAlignment="1">
      <alignment horizontal="center" vertical="center" wrapText="1"/>
    </xf>
    <xf numFmtId="0" fontId="21" fillId="4" borderId="37" xfId="8" applyFont="1" applyFill="1" applyBorder="1" applyAlignment="1">
      <alignment horizontal="center" vertical="center" wrapText="1"/>
    </xf>
    <xf numFmtId="0" fontId="21" fillId="4" borderId="44" xfId="8" applyFont="1" applyFill="1" applyBorder="1" applyAlignment="1">
      <alignment horizontal="center" vertical="center" wrapText="1"/>
    </xf>
    <xf numFmtId="0" fontId="21" fillId="4" borderId="47" xfId="8" applyFont="1" applyFill="1" applyBorder="1" applyAlignment="1">
      <alignment horizontal="center" vertical="center" wrapText="1"/>
    </xf>
    <xf numFmtId="0" fontId="21" fillId="4" borderId="39" xfId="8" applyFont="1" applyFill="1" applyBorder="1" applyAlignment="1">
      <alignment horizontal="center" vertical="center" wrapText="1"/>
    </xf>
    <xf numFmtId="0" fontId="21" fillId="4" borderId="41" xfId="8" applyFont="1" applyFill="1" applyBorder="1" applyAlignment="1">
      <alignment horizontal="center" vertical="center" wrapText="1"/>
    </xf>
    <xf numFmtId="0" fontId="21" fillId="4" borderId="42" xfId="8" applyFont="1" applyFill="1" applyBorder="1" applyAlignment="1">
      <alignment horizontal="center" vertical="center" wrapText="1"/>
    </xf>
    <xf numFmtId="0" fontId="21" fillId="4" borderId="38" xfId="8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25" fillId="9" borderId="7" xfId="8" applyFont="1" applyFill="1" applyBorder="1" applyAlignment="1">
      <alignment horizontal="center" vertical="center"/>
    </xf>
    <xf numFmtId="0" fontId="33" fillId="6" borderId="82" xfId="0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horizontal="center" vertical="center" wrapText="1"/>
    </xf>
    <xf numFmtId="0" fontId="33" fillId="4" borderId="40" xfId="0" applyFont="1" applyFill="1" applyBorder="1" applyAlignment="1">
      <alignment horizontal="center" vertical="center" wrapText="1"/>
    </xf>
    <xf numFmtId="0" fontId="33" fillId="4" borderId="43" xfId="0" applyFont="1" applyFill="1" applyBorder="1" applyAlignment="1">
      <alignment horizontal="center" vertical="center" wrapText="1"/>
    </xf>
    <xf numFmtId="0" fontId="33" fillId="4" borderId="37" xfId="0" applyFont="1" applyFill="1" applyBorder="1" applyAlignment="1">
      <alignment horizontal="center" vertical="center" wrapText="1"/>
    </xf>
    <xf numFmtId="0" fontId="33" fillId="4" borderId="41" xfId="0" applyFont="1" applyFill="1" applyBorder="1" applyAlignment="1">
      <alignment horizontal="center" vertical="center" wrapText="1"/>
    </xf>
    <xf numFmtId="0" fontId="33" fillId="4" borderId="42" xfId="0" applyFont="1" applyFill="1" applyBorder="1" applyAlignment="1">
      <alignment horizontal="center" vertical="center" wrapText="1"/>
    </xf>
    <xf numFmtId="0" fontId="33" fillId="4" borderId="38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3" fillId="4" borderId="27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 wrapText="1"/>
    </xf>
    <xf numFmtId="0" fontId="33" fillId="16" borderId="6" xfId="0" applyFont="1" applyFill="1" applyBorder="1" applyAlignment="1">
      <alignment horizontal="center" vertical="center" wrapText="1"/>
    </xf>
    <xf numFmtId="0" fontId="33" fillId="16" borderId="7" xfId="0" applyFont="1" applyFill="1" applyBorder="1" applyAlignment="1">
      <alignment horizontal="center" vertical="center" wrapText="1"/>
    </xf>
    <xf numFmtId="0" fontId="33" fillId="16" borderId="8" xfId="0" applyFont="1" applyFill="1" applyBorder="1" applyAlignment="1">
      <alignment horizontal="center" vertical="center" wrapText="1"/>
    </xf>
    <xf numFmtId="0" fontId="33" fillId="6" borderId="65" xfId="0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center" vertical="center" wrapText="1"/>
    </xf>
    <xf numFmtId="0" fontId="33" fillId="6" borderId="5" xfId="0" applyFont="1" applyFill="1" applyBorder="1" applyAlignment="1">
      <alignment horizontal="center" vertical="center" wrapText="1"/>
    </xf>
    <xf numFmtId="43" fontId="33" fillId="16" borderId="69" xfId="0" applyNumberFormat="1" applyFont="1" applyFill="1" applyBorder="1" applyAlignment="1">
      <alignment horizontal="center" vertical="center" wrapText="1"/>
    </xf>
    <xf numFmtId="43" fontId="33" fillId="16" borderId="37" xfId="0" applyNumberFormat="1" applyFont="1" applyFill="1" applyBorder="1" applyAlignment="1">
      <alignment horizontal="center" vertical="center" wrapText="1"/>
    </xf>
    <xf numFmtId="43" fontId="33" fillId="16" borderId="26" xfId="0" applyNumberFormat="1" applyFont="1" applyFill="1" applyBorder="1" applyAlignment="1">
      <alignment horizontal="center" vertical="center" wrapText="1"/>
    </xf>
    <xf numFmtId="43" fontId="33" fillId="16" borderId="39" xfId="0" applyNumberFormat="1" applyFont="1" applyFill="1" applyBorder="1" applyAlignment="1">
      <alignment horizontal="center" vertical="center" wrapText="1"/>
    </xf>
    <xf numFmtId="43" fontId="33" fillId="16" borderId="70" xfId="0" applyNumberFormat="1" applyFont="1" applyFill="1" applyBorder="1" applyAlignment="1">
      <alignment horizontal="center" vertical="center" wrapText="1"/>
    </xf>
    <xf numFmtId="43" fontId="33" fillId="16" borderId="38" xfId="0" applyNumberFormat="1" applyFont="1" applyFill="1" applyBorder="1" applyAlignment="1">
      <alignment horizontal="center" vertical="center" wrapText="1"/>
    </xf>
    <xf numFmtId="43" fontId="33" fillId="6" borderId="28" xfId="0" applyNumberFormat="1" applyFont="1" applyFill="1" applyBorder="1" applyAlignment="1">
      <alignment horizontal="center" vertical="center" wrapText="1"/>
    </xf>
    <xf numFmtId="43" fontId="33" fillId="6" borderId="78" xfId="0" applyNumberFormat="1" applyFont="1" applyFill="1" applyBorder="1" applyAlignment="1">
      <alignment horizontal="center" vertical="center" wrapText="1"/>
    </xf>
    <xf numFmtId="43" fontId="33" fillId="3" borderId="70" xfId="0" applyNumberFormat="1" applyFont="1" applyFill="1" applyBorder="1" applyAlignment="1">
      <alignment horizontal="center" vertical="center" wrapText="1"/>
    </xf>
    <xf numFmtId="43" fontId="33" fillId="3" borderId="38" xfId="0" applyNumberFormat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43" fontId="15" fillId="4" borderId="69" xfId="0" applyNumberFormat="1" applyFont="1" applyFill="1" applyBorder="1" applyAlignment="1">
      <alignment horizontal="center" vertical="center" wrapText="1"/>
    </xf>
    <xf numFmtId="43" fontId="15" fillId="4" borderId="37" xfId="0" applyNumberFormat="1" applyFont="1" applyFill="1" applyBorder="1" applyAlignment="1">
      <alignment horizontal="center" vertical="center" wrapText="1"/>
    </xf>
    <xf numFmtId="43" fontId="15" fillId="4" borderId="26" xfId="0" applyNumberFormat="1" applyFont="1" applyFill="1" applyBorder="1" applyAlignment="1">
      <alignment horizontal="center" vertical="center" wrapText="1"/>
    </xf>
    <xf numFmtId="43" fontId="15" fillId="4" borderId="39" xfId="0" applyNumberFormat="1" applyFont="1" applyFill="1" applyBorder="1" applyAlignment="1">
      <alignment horizontal="center" vertical="center" wrapText="1"/>
    </xf>
    <xf numFmtId="43" fontId="15" fillId="4" borderId="70" xfId="0" applyNumberFormat="1" applyFont="1" applyFill="1" applyBorder="1" applyAlignment="1">
      <alignment horizontal="center" vertical="center" wrapText="1"/>
    </xf>
    <xf numFmtId="43" fontId="15" fillId="4" borderId="38" xfId="0" applyNumberFormat="1" applyFont="1" applyFill="1" applyBorder="1" applyAlignment="1">
      <alignment horizontal="center" vertical="center" wrapText="1"/>
    </xf>
    <xf numFmtId="0" fontId="33" fillId="6" borderId="6" xfId="0" applyFont="1" applyFill="1" applyBorder="1" applyAlignment="1">
      <alignment horizontal="center" vertical="center" wrapText="1"/>
    </xf>
    <xf numFmtId="0" fontId="33" fillId="6" borderId="7" xfId="0" applyFont="1" applyFill="1" applyBorder="1" applyAlignment="1">
      <alignment horizontal="center" vertical="center" wrapText="1"/>
    </xf>
    <xf numFmtId="0" fontId="33" fillId="6" borderId="8" xfId="0" applyFont="1" applyFill="1" applyBorder="1" applyAlignment="1">
      <alignment horizontal="center" vertical="center" wrapText="1"/>
    </xf>
    <xf numFmtId="0" fontId="33" fillId="4" borderId="44" xfId="0" applyFont="1" applyFill="1" applyBorder="1" applyAlignment="1">
      <alignment horizontal="center" vertical="center" wrapText="1"/>
    </xf>
    <xf numFmtId="0" fontId="33" fillId="4" borderId="39" xfId="0" applyFont="1" applyFill="1" applyBorder="1" applyAlignment="1">
      <alignment horizontal="center" vertical="center" wrapText="1"/>
    </xf>
    <xf numFmtId="0" fontId="33" fillId="4" borderId="81" xfId="0" applyFont="1" applyFill="1" applyBorder="1" applyAlignment="1">
      <alignment horizontal="center" vertical="center" wrapText="1"/>
    </xf>
    <xf numFmtId="0" fontId="33" fillId="4" borderId="76" xfId="0" applyFont="1" applyFill="1" applyBorder="1" applyAlignment="1">
      <alignment horizontal="center" vertical="center" wrapText="1"/>
    </xf>
    <xf numFmtId="0" fontId="15" fillId="6" borderId="71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4" fillId="11" borderId="40" xfId="0" applyFont="1" applyFill="1" applyBorder="1" applyAlignment="1">
      <alignment horizontal="center" vertical="center" wrapText="1"/>
    </xf>
    <xf numFmtId="0" fontId="14" fillId="11" borderId="43" xfId="0" applyFont="1" applyFill="1" applyBorder="1" applyAlignment="1">
      <alignment horizontal="center" vertical="center" wrapText="1"/>
    </xf>
    <xf numFmtId="0" fontId="14" fillId="11" borderId="37" xfId="0" applyFont="1" applyFill="1" applyBorder="1" applyAlignment="1">
      <alignment horizontal="center" vertical="center" wrapText="1"/>
    </xf>
    <xf numFmtId="0" fontId="14" fillId="11" borderId="42" xfId="0" applyFont="1" applyFill="1" applyBorder="1" applyAlignment="1">
      <alignment horizontal="center" vertical="center" wrapText="1"/>
    </xf>
    <xf numFmtId="0" fontId="14" fillId="11" borderId="38" xfId="0" applyFont="1" applyFill="1" applyBorder="1" applyAlignment="1">
      <alignment horizontal="center" vertical="center" wrapText="1"/>
    </xf>
    <xf numFmtId="0" fontId="15" fillId="6" borderId="65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50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43" fontId="15" fillId="6" borderId="37" xfId="0" applyNumberFormat="1" applyFont="1" applyFill="1" applyBorder="1" applyAlignment="1">
      <alignment horizontal="center" vertical="center" wrapText="1"/>
    </xf>
    <xf numFmtId="43" fontId="21" fillId="3" borderId="10" xfId="0" applyNumberFormat="1" applyFont="1" applyFill="1" applyBorder="1" applyAlignment="1">
      <alignment horizontal="center" vertical="center" wrapText="1"/>
    </xf>
    <xf numFmtId="43" fontId="21" fillId="3" borderId="11" xfId="0" applyNumberFormat="1" applyFont="1" applyFill="1" applyBorder="1" applyAlignment="1">
      <alignment horizontal="center" vertical="center" wrapText="1"/>
    </xf>
    <xf numFmtId="43" fontId="21" fillId="3" borderId="12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right"/>
    </xf>
    <xf numFmtId="1" fontId="15" fillId="0" borderId="2" xfId="0" applyNumberFormat="1" applyFont="1" applyBorder="1" applyAlignment="1">
      <alignment horizontal="center" vertical="center"/>
    </xf>
    <xf numFmtId="1" fontId="15" fillId="0" borderId="27" xfId="0" applyNumberFormat="1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0" fontId="14" fillId="11" borderId="63" xfId="0" applyFont="1" applyFill="1" applyBorder="1" applyAlignment="1">
      <alignment horizontal="center" vertical="center" wrapText="1"/>
    </xf>
    <xf numFmtId="0" fontId="14" fillId="11" borderId="79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6" borderId="88" xfId="0" applyFont="1" applyFill="1" applyBorder="1" applyAlignment="1">
      <alignment horizontal="center" vertical="center" wrapText="1"/>
    </xf>
    <xf numFmtId="0" fontId="15" fillId="6" borderId="44" xfId="0" applyFont="1" applyFill="1" applyBorder="1" applyAlignment="1">
      <alignment horizontal="center" vertical="center" wrapText="1"/>
    </xf>
    <xf numFmtId="0" fontId="15" fillId="6" borderId="81" xfId="0" applyFont="1" applyFill="1" applyBorder="1" applyAlignment="1">
      <alignment horizontal="center" vertical="center" wrapText="1"/>
    </xf>
    <xf numFmtId="0" fontId="15" fillId="6" borderId="41" xfId="0" applyFont="1" applyFill="1" applyBorder="1" applyAlignment="1">
      <alignment horizontal="center" vertical="center" wrapText="1"/>
    </xf>
    <xf numFmtId="43" fontId="15" fillId="4" borderId="40" xfId="0" applyNumberFormat="1" applyFont="1" applyFill="1" applyBorder="1" applyAlignment="1">
      <alignment horizontal="center" vertical="center" wrapText="1"/>
    </xf>
    <xf numFmtId="43" fontId="15" fillId="4" borderId="44" xfId="0" applyNumberFormat="1" applyFont="1" applyFill="1" applyBorder="1" applyAlignment="1">
      <alignment horizontal="center" vertical="center" wrapText="1"/>
    </xf>
    <xf numFmtId="43" fontId="15" fillId="4" borderId="41" xfId="0" applyNumberFormat="1" applyFont="1" applyFill="1" applyBorder="1" applyAlignment="1">
      <alignment horizontal="center" vertical="center" wrapText="1"/>
    </xf>
    <xf numFmtId="43" fontId="15" fillId="6" borderId="88" xfId="0" applyNumberFormat="1" applyFont="1" applyFill="1" applyBorder="1" applyAlignment="1">
      <alignment horizontal="center" vertical="center" wrapText="1"/>
    </xf>
    <xf numFmtId="43" fontId="15" fillId="6" borderId="78" xfId="0" applyNumberFormat="1" applyFont="1" applyFill="1" applyBorder="1" applyAlignment="1">
      <alignment horizontal="center" vertical="center" wrapText="1"/>
    </xf>
    <xf numFmtId="43" fontId="21" fillId="3" borderId="54" xfId="0" applyNumberFormat="1" applyFont="1" applyFill="1" applyBorder="1" applyAlignment="1">
      <alignment horizontal="center" vertical="center" wrapText="1"/>
    </xf>
    <xf numFmtId="43" fontId="21" fillId="3" borderId="73" xfId="0" applyNumberFormat="1" applyFont="1" applyFill="1" applyBorder="1" applyAlignment="1">
      <alignment horizontal="center" vertical="center" wrapText="1"/>
    </xf>
    <xf numFmtId="43" fontId="21" fillId="3" borderId="68" xfId="0" applyNumberFormat="1" applyFont="1" applyFill="1" applyBorder="1" applyAlignment="1">
      <alignment horizontal="center" vertical="center" wrapText="1"/>
    </xf>
    <xf numFmtId="0" fontId="22" fillId="6" borderId="21" xfId="14" applyFont="1" applyFill="1" applyBorder="1" applyAlignment="1">
      <alignment horizontal="center" vertical="center"/>
    </xf>
    <xf numFmtId="0" fontId="22" fillId="6" borderId="63" xfId="14" applyFont="1" applyFill="1" applyBorder="1" applyAlignment="1">
      <alignment horizontal="center" vertical="center"/>
    </xf>
    <xf numFmtId="0" fontId="22" fillId="6" borderId="64" xfId="14" applyFont="1" applyFill="1" applyBorder="1" applyAlignment="1">
      <alignment horizontal="center" vertical="center"/>
    </xf>
    <xf numFmtId="0" fontId="15" fillId="9" borderId="62" xfId="14" applyFont="1" applyFill="1" applyBorder="1" applyAlignment="1">
      <alignment horizontal="center" vertical="center" wrapText="1"/>
    </xf>
    <xf numFmtId="0" fontId="15" fillId="9" borderId="57" xfId="14" applyFont="1" applyFill="1" applyBorder="1" applyAlignment="1">
      <alignment horizontal="center" vertical="center" wrapText="1"/>
    </xf>
    <xf numFmtId="0" fontId="15" fillId="8" borderId="19" xfId="14" applyFont="1" applyFill="1" applyBorder="1" applyAlignment="1">
      <alignment horizontal="center" vertical="center" wrapText="1"/>
    </xf>
    <xf numFmtId="0" fontId="15" fillId="8" borderId="21" xfId="14" applyFont="1" applyFill="1" applyBorder="1" applyAlignment="1">
      <alignment horizontal="center" vertical="center" wrapText="1"/>
    </xf>
    <xf numFmtId="0" fontId="20" fillId="0" borderId="20" xfId="14" applyFont="1" applyBorder="1" applyAlignment="1">
      <alignment horizontal="center"/>
    </xf>
    <xf numFmtId="0" fontId="20" fillId="0" borderId="21" xfId="14" applyFont="1" applyBorder="1" applyAlignment="1">
      <alignment horizontal="center"/>
    </xf>
    <xf numFmtId="0" fontId="21" fillId="4" borderId="40" xfId="14" applyFont="1" applyFill="1" applyBorder="1" applyAlignment="1">
      <alignment horizontal="center" vertical="center" wrapText="1"/>
    </xf>
    <xf numFmtId="0" fontId="21" fillId="4" borderId="43" xfId="14" applyFont="1" applyFill="1" applyBorder="1" applyAlignment="1">
      <alignment horizontal="center" vertical="center" wrapText="1"/>
    </xf>
    <xf numFmtId="0" fontId="21" fillId="4" borderId="37" xfId="14" applyFont="1" applyFill="1" applyBorder="1" applyAlignment="1">
      <alignment horizontal="center" vertical="center" wrapText="1"/>
    </xf>
    <xf numFmtId="0" fontId="21" fillId="4" borderId="44" xfId="14" applyFont="1" applyFill="1" applyBorder="1" applyAlignment="1">
      <alignment horizontal="center" vertical="center" wrapText="1"/>
    </xf>
    <xf numFmtId="0" fontId="21" fillId="4" borderId="47" xfId="14" applyFont="1" applyFill="1" applyBorder="1" applyAlignment="1">
      <alignment horizontal="center" vertical="center" wrapText="1"/>
    </xf>
    <xf numFmtId="0" fontId="21" fillId="4" borderId="39" xfId="14" applyFont="1" applyFill="1" applyBorder="1" applyAlignment="1">
      <alignment horizontal="center" vertical="center" wrapText="1"/>
    </xf>
    <xf numFmtId="0" fontId="21" fillId="4" borderId="41" xfId="14" applyFont="1" applyFill="1" applyBorder="1" applyAlignment="1">
      <alignment horizontal="center" vertical="center" wrapText="1"/>
    </xf>
    <xf numFmtId="0" fontId="21" fillId="4" borderId="42" xfId="14" applyFont="1" applyFill="1" applyBorder="1" applyAlignment="1">
      <alignment horizontal="center" vertical="center" wrapText="1"/>
    </xf>
    <xf numFmtId="0" fontId="21" fillId="4" borderId="38" xfId="14" applyFont="1" applyFill="1" applyBorder="1" applyAlignment="1">
      <alignment horizontal="center" vertical="center" wrapText="1"/>
    </xf>
    <xf numFmtId="0" fontId="24" fillId="4" borderId="2" xfId="14" applyFont="1" applyFill="1" applyBorder="1" applyAlignment="1">
      <alignment horizontal="center" vertical="center" wrapText="1"/>
    </xf>
    <xf numFmtId="0" fontId="14" fillId="4" borderId="27" xfId="14" applyFont="1" applyFill="1" applyBorder="1" applyAlignment="1">
      <alignment horizontal="center" vertical="center" wrapText="1"/>
    </xf>
    <xf numFmtId="0" fontId="14" fillId="4" borderId="9" xfId="14" applyFont="1" applyFill="1" applyBorder="1" applyAlignment="1">
      <alignment horizontal="center" vertical="center" wrapText="1"/>
    </xf>
    <xf numFmtId="0" fontId="25" fillId="9" borderId="59" xfId="14" applyFont="1" applyFill="1" applyBorder="1" applyAlignment="1">
      <alignment horizontal="center" vertical="center"/>
    </xf>
    <xf numFmtId="0" fontId="25" fillId="9" borderId="60" xfId="14" applyFont="1" applyFill="1" applyBorder="1" applyAlignment="1">
      <alignment horizontal="center" vertical="center"/>
    </xf>
    <xf numFmtId="0" fontId="25" fillId="8" borderId="59" xfId="14" applyFont="1" applyFill="1" applyBorder="1" applyAlignment="1">
      <alignment horizontal="center"/>
    </xf>
    <xf numFmtId="0" fontId="25" fillId="8" borderId="61" xfId="14" applyFont="1" applyFill="1" applyBorder="1" applyAlignment="1">
      <alignment horizontal="center"/>
    </xf>
    <xf numFmtId="0" fontId="25" fillId="8" borderId="6" xfId="25" applyFont="1" applyFill="1" applyBorder="1" applyAlignment="1">
      <alignment horizontal="center"/>
    </xf>
    <xf numFmtId="0" fontId="25" fillId="8" borderId="7" xfId="25" applyFont="1" applyFill="1" applyBorder="1" applyAlignment="1">
      <alignment horizontal="center"/>
    </xf>
    <xf numFmtId="0" fontId="25" fillId="8" borderId="8" xfId="25" applyFont="1" applyFill="1" applyBorder="1" applyAlignment="1">
      <alignment horizontal="center"/>
    </xf>
    <xf numFmtId="0" fontId="15" fillId="9" borderId="30" xfId="25" applyFont="1" applyFill="1" applyBorder="1" applyAlignment="1">
      <alignment horizontal="center" vertical="center" wrapText="1"/>
    </xf>
    <xf numFmtId="0" fontId="15" fillId="9" borderId="49" xfId="25" applyFont="1" applyFill="1" applyBorder="1" applyAlignment="1">
      <alignment horizontal="center" vertical="center" wrapText="1"/>
    </xf>
    <xf numFmtId="0" fontId="15" fillId="9" borderId="45" xfId="25" applyFont="1" applyFill="1" applyBorder="1" applyAlignment="1">
      <alignment horizontal="center" vertical="center" wrapText="1"/>
    </xf>
    <xf numFmtId="0" fontId="15" fillId="8" borderId="30" xfId="25" applyFont="1" applyFill="1" applyBorder="1" applyAlignment="1">
      <alignment horizontal="center" vertical="center" wrapText="1"/>
    </xf>
    <xf numFmtId="0" fontId="15" fillId="8" borderId="49" xfId="25" applyFont="1" applyFill="1" applyBorder="1" applyAlignment="1">
      <alignment horizontal="center" vertical="center" wrapText="1"/>
    </xf>
    <xf numFmtId="0" fontId="15" fillId="8" borderId="45" xfId="25" applyFont="1" applyFill="1" applyBorder="1" applyAlignment="1">
      <alignment horizontal="center" vertical="center" wrapText="1"/>
    </xf>
    <xf numFmtId="0" fontId="22" fillId="6" borderId="27" xfId="25" applyFont="1" applyFill="1" applyBorder="1" applyAlignment="1">
      <alignment horizontal="center" vertical="center"/>
    </xf>
    <xf numFmtId="0" fontId="22" fillId="6" borderId="9" xfId="25" applyFont="1" applyFill="1" applyBorder="1" applyAlignment="1">
      <alignment horizontal="center" vertical="center"/>
    </xf>
    <xf numFmtId="0" fontId="21" fillId="4" borderId="40" xfId="25" applyFont="1" applyFill="1" applyBorder="1" applyAlignment="1">
      <alignment horizontal="center" vertical="center" wrapText="1"/>
    </xf>
    <xf numFmtId="0" fontId="21" fillId="4" borderId="43" xfId="25" applyFont="1" applyFill="1" applyBorder="1" applyAlignment="1">
      <alignment horizontal="center" vertical="center" wrapText="1"/>
    </xf>
    <xf numFmtId="0" fontId="21" fillId="4" borderId="37" xfId="25" applyFont="1" applyFill="1" applyBorder="1" applyAlignment="1">
      <alignment horizontal="center" vertical="center" wrapText="1"/>
    </xf>
    <xf numFmtId="0" fontId="21" fillId="4" borderId="44" xfId="25" applyFont="1" applyFill="1" applyBorder="1" applyAlignment="1">
      <alignment horizontal="center" vertical="center" wrapText="1"/>
    </xf>
    <xf numFmtId="0" fontId="21" fillId="4" borderId="47" xfId="25" applyFont="1" applyFill="1" applyBorder="1" applyAlignment="1">
      <alignment horizontal="center" vertical="center" wrapText="1"/>
    </xf>
    <xf numFmtId="0" fontId="21" fillId="4" borderId="39" xfId="25" applyFont="1" applyFill="1" applyBorder="1" applyAlignment="1">
      <alignment horizontal="center" vertical="center" wrapText="1"/>
    </xf>
    <xf numFmtId="0" fontId="21" fillId="4" borderId="41" xfId="25" applyFont="1" applyFill="1" applyBorder="1" applyAlignment="1">
      <alignment horizontal="center" vertical="center" wrapText="1"/>
    </xf>
    <xf numFmtId="0" fontId="21" fillId="4" borderId="42" xfId="25" applyFont="1" applyFill="1" applyBorder="1" applyAlignment="1">
      <alignment horizontal="center" vertical="center" wrapText="1"/>
    </xf>
    <xf numFmtId="0" fontId="21" fillId="4" borderId="38" xfId="25" applyFont="1" applyFill="1" applyBorder="1" applyAlignment="1">
      <alignment horizontal="center" vertical="center" wrapText="1"/>
    </xf>
    <xf numFmtId="0" fontId="25" fillId="9" borderId="7" xfId="25" applyFont="1" applyFill="1" applyBorder="1" applyAlignment="1">
      <alignment horizontal="center" vertical="center"/>
    </xf>
    <xf numFmtId="0" fontId="21" fillId="13" borderId="40" xfId="0" applyFont="1" applyFill="1" applyBorder="1" applyAlignment="1">
      <alignment horizontal="center" vertical="center" wrapText="1"/>
    </xf>
    <xf numFmtId="0" fontId="21" fillId="13" borderId="37" xfId="0" applyFont="1" applyFill="1" applyBorder="1" applyAlignment="1">
      <alignment horizontal="center" vertical="center" wrapText="1"/>
    </xf>
    <xf numFmtId="0" fontId="21" fillId="13" borderId="41" xfId="0" applyFont="1" applyFill="1" applyBorder="1" applyAlignment="1">
      <alignment horizontal="center" vertical="center" wrapText="1"/>
    </xf>
    <xf numFmtId="0" fontId="21" fillId="13" borderId="38" xfId="0" applyFont="1" applyFill="1" applyBorder="1" applyAlignment="1">
      <alignment horizontal="center" vertical="center" wrapText="1"/>
    </xf>
    <xf numFmtId="0" fontId="21" fillId="13" borderId="6" xfId="0" applyFont="1" applyFill="1" applyBorder="1" applyAlignment="1">
      <alignment horizontal="center" vertical="center" wrapText="1"/>
    </xf>
    <xf numFmtId="0" fontId="24" fillId="13" borderId="7" xfId="0" applyFont="1" applyFill="1" applyBorder="1" applyAlignment="1">
      <alignment horizontal="center" vertical="center" wrapText="1"/>
    </xf>
    <xf numFmtId="0" fontId="21" fillId="13" borderId="8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21" fillId="6" borderId="8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</cellXfs>
  <cellStyles count="27">
    <cellStyle name="Comma" xfId="1" builtinId="3"/>
    <cellStyle name="Comma 2" xfId="3" xr:uid="{00000000-0005-0000-0000-000001000000}"/>
    <cellStyle name="Comma 2 2" xfId="5" xr:uid="{00000000-0005-0000-0000-000002000000}"/>
    <cellStyle name="Comma 3" xfId="7" xr:uid="{00000000-0005-0000-0000-000003000000}"/>
    <cellStyle name="Comma 3 2" xfId="9" xr:uid="{00000000-0005-0000-0000-000004000000}"/>
    <cellStyle name="Comma 3 2 2" xfId="18" xr:uid="{00000000-0005-0000-0000-000005000000}"/>
    <cellStyle name="Comma 3 2 2 2" xfId="20" xr:uid="{00000000-0005-0000-0000-000006000000}"/>
    <cellStyle name="Comma 3 2 2 2 2" xfId="22" xr:uid="{6637ABE3-E441-4AE1-AB66-68135CFF2DCE}"/>
    <cellStyle name="Comma 3 2 2 2 2 2" xfId="24" xr:uid="{6AC7D5A3-87EE-428C-976A-B5DCE7EF090F}"/>
    <cellStyle name="Comma 3 2 2 2 2 2 2" xfId="26" xr:uid="{6B2E95B4-F064-4F87-BA1E-82766AEB3DF8}"/>
    <cellStyle name="Comma 3 3" xfId="13" xr:uid="{00000000-0005-0000-0000-000007000000}"/>
    <cellStyle name="Comma 3 3 2" xfId="15" xr:uid="{00000000-0005-0000-0000-000008000000}"/>
    <cellStyle name="Comma 4" xfId="11" xr:uid="{00000000-0005-0000-0000-000009000000}"/>
    <cellStyle name="Normal" xfId="0" builtinId="0"/>
    <cellStyle name="Normal 2" xfId="4" xr:uid="{00000000-0005-0000-0000-00000B000000}"/>
    <cellStyle name="Normal 3" xfId="2" xr:uid="{00000000-0005-0000-0000-00000C000000}"/>
    <cellStyle name="Normal 4" xfId="6" xr:uid="{00000000-0005-0000-0000-00000D000000}"/>
    <cellStyle name="Normal 4 2" xfId="8" xr:uid="{00000000-0005-0000-0000-00000E000000}"/>
    <cellStyle name="Normal 4 2 2" xfId="17" xr:uid="{00000000-0005-0000-0000-00000F000000}"/>
    <cellStyle name="Normal 4 2 2 2" xfId="19" xr:uid="{00000000-0005-0000-0000-000010000000}"/>
    <cellStyle name="Normal 4 2 2 2 2" xfId="21" xr:uid="{D1845733-6F0E-4734-ACBA-0965F8DDCDA4}"/>
    <cellStyle name="Normal 4 2 2 2 2 2" xfId="23" xr:uid="{908C7372-B498-4125-98B2-0D007D082949}"/>
    <cellStyle name="Normal 4 2 2 2 2 2 2" xfId="25" xr:uid="{59E10758-9E18-4392-8DFB-DC2008DB6180}"/>
    <cellStyle name="Normal 4 3" xfId="12" xr:uid="{00000000-0005-0000-0000-000011000000}"/>
    <cellStyle name="Normal 4 3 2" xfId="14" xr:uid="{00000000-0005-0000-0000-000012000000}"/>
    <cellStyle name="Normal 5" xfId="10" xr:uid="{00000000-0005-0000-0000-000013000000}"/>
    <cellStyle name="Normal 5 2" xfId="16" xr:uid="{00000000-0005-0000-0000-000014000000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ereje.negera.ETHIO/AppData/Local/Microsoft/Windows/INetCache/Content.Outlook/QS8XDXP5/August%202024%20Revenue%20Paid%20v2.xlsx" TargetMode="External"/><Relationship Id="rId1" Type="http://schemas.openxmlformats.org/officeDocument/2006/relationships/externalLinkPath" Target="/Users/dereje.negera.ETHIO/AppData/Local/Microsoft/Windows/INetCache/Content.Outlook/QS8XDXP5/August%202024%20Revenue%20Paid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ereje.negera.ETHIO/AppData/Local/Microsoft/Windows/INetCache/Content.Outlook/QS8XDXP5/August%202024%20Revenue%20Paid%20v1.xlsx" TargetMode="External"/><Relationship Id="rId1" Type="http://schemas.openxmlformats.org/officeDocument/2006/relationships/externalLinkPath" Target="/Users/dereje.negera.ETHIO/AppData/Local/Microsoft/Windows/INetCache/Content.Outlook/QS8XDXP5/August%202024%20Revenue%20Paid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enatalem.asresahegn/AppData/Local/Microsoft/Windows/INetCache/Content.Outlook/5GTPB5EH/MT%20Over%20Apr%202026.xlsx" TargetMode="External"/><Relationship Id="rId2" Type="http://schemas.openxmlformats.org/officeDocument/2006/relationships/externalLinkPath" Target="file:///C:\Users\enatalem.asresahegn\AppData\Local\Microsoft\Windows\INetCache\Content.Outlook\5GTPB5EH\MT%20Over%20Apr%202026.xlsx" TargetMode="External"/><Relationship Id="rId1" Type="http://schemas.openxmlformats.org/officeDocument/2006/relationships/externalLinkPath" Target="/Users/enatalem.asresahegn/AppData/Local/Microsoft/Windows/INetCache/Content.Outlook/5GTPB5EH/MT%20Over%20Ap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 Premium SMS"/>
      <sheetName val="Call Signiture"/>
      <sheetName val="MA Payment API "/>
      <sheetName val="Voice SMS"/>
      <sheetName val="CRBT Tone"/>
      <sheetName val="CRBT Rent"/>
      <sheetName val="CRBT HW SHARE"/>
      <sheetName val="MA Share"/>
      <sheetName val="SMS MO"/>
      <sheetName val="National Lottery"/>
    </sheetNames>
    <sheetDataSet>
      <sheetData sheetId="0"/>
      <sheetData sheetId="1">
        <row r="2">
          <cell r="A2">
            <v>154102000014293</v>
          </cell>
          <cell r="B2">
            <v>17102606.940000001</v>
          </cell>
        </row>
        <row r="3">
          <cell r="A3">
            <v>154102000014294</v>
          </cell>
          <cell r="B3">
            <v>40784742.009999998</v>
          </cell>
        </row>
      </sheetData>
      <sheetData sheetId="2"/>
      <sheetData sheetId="3"/>
      <sheetData sheetId="4">
        <row r="2">
          <cell r="A2">
            <v>601555</v>
          </cell>
        </row>
      </sheetData>
      <sheetData sheetId="5">
        <row r="2">
          <cell r="A2">
            <v>601555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 Premium SMS"/>
      <sheetName val="Call Signiture"/>
      <sheetName val="MA Payment API "/>
      <sheetName val="Voice SMS"/>
    </sheetNames>
    <sheetDataSet>
      <sheetData sheetId="0"/>
      <sheetData sheetId="1"/>
      <sheetData sheetId="2">
        <row r="2">
          <cell r="A2">
            <v>42822000002838</v>
          </cell>
          <cell r="B2">
            <v>11683110.33</v>
          </cell>
        </row>
        <row r="3">
          <cell r="A3">
            <v>102132000005008</v>
          </cell>
          <cell r="B3">
            <v>1711563.66</v>
          </cell>
        </row>
        <row r="4">
          <cell r="A4">
            <v>104032000004911</v>
          </cell>
          <cell r="B4">
            <v>1926216.8</v>
          </cell>
        </row>
        <row r="5">
          <cell r="A5">
            <v>104032000005033</v>
          </cell>
          <cell r="B5">
            <v>2333145.9899999998</v>
          </cell>
        </row>
        <row r="6">
          <cell r="A6">
            <v>106232000005240</v>
          </cell>
          <cell r="B6">
            <v>597961.43000000005</v>
          </cell>
        </row>
        <row r="7">
          <cell r="A7">
            <v>106702000005290</v>
          </cell>
          <cell r="B7">
            <v>500420.08999999997</v>
          </cell>
        </row>
        <row r="8">
          <cell r="A8">
            <v>106762000005276</v>
          </cell>
          <cell r="B8">
            <v>1010138.8200000001</v>
          </cell>
        </row>
        <row r="9">
          <cell r="A9">
            <v>107192000005395</v>
          </cell>
          <cell r="B9">
            <v>284418.14</v>
          </cell>
        </row>
        <row r="10">
          <cell r="A10">
            <v>109052000005588</v>
          </cell>
          <cell r="B10">
            <v>1809238.47</v>
          </cell>
        </row>
        <row r="11">
          <cell r="A11">
            <v>111052000006648</v>
          </cell>
          <cell r="B11">
            <v>372466.14</v>
          </cell>
        </row>
        <row r="12">
          <cell r="A12">
            <v>115042000005888</v>
          </cell>
          <cell r="B12">
            <v>2166400.81</v>
          </cell>
        </row>
        <row r="13">
          <cell r="A13">
            <v>122072000006508</v>
          </cell>
          <cell r="B13">
            <v>824700.14</v>
          </cell>
        </row>
        <row r="14">
          <cell r="A14">
            <v>129432000009885</v>
          </cell>
          <cell r="B14">
            <v>8506.2999999999993</v>
          </cell>
        </row>
        <row r="15">
          <cell r="A15">
            <v>133282000010590</v>
          </cell>
          <cell r="B15">
            <v>5664747.1299999999</v>
          </cell>
        </row>
        <row r="16">
          <cell r="A16">
            <v>133282000014546</v>
          </cell>
          <cell r="B16">
            <v>10152546.560000001</v>
          </cell>
        </row>
        <row r="17">
          <cell r="A17">
            <v>133292000010809</v>
          </cell>
          <cell r="B17">
            <v>1554949.56</v>
          </cell>
        </row>
        <row r="18">
          <cell r="A18">
            <v>133312000012908</v>
          </cell>
          <cell r="B18">
            <v>591895.79999999993</v>
          </cell>
        </row>
        <row r="19">
          <cell r="A19">
            <v>133632000010745</v>
          </cell>
          <cell r="B19">
            <v>972652.09</v>
          </cell>
        </row>
        <row r="20">
          <cell r="A20">
            <v>133642000010805</v>
          </cell>
          <cell r="B20">
            <v>1946172.18</v>
          </cell>
        </row>
        <row r="21">
          <cell r="A21">
            <v>133642000010806</v>
          </cell>
          <cell r="B21">
            <v>14599.300000000001</v>
          </cell>
        </row>
        <row r="22">
          <cell r="A22">
            <v>133652000010965</v>
          </cell>
          <cell r="B22">
            <v>111039.49</v>
          </cell>
        </row>
        <row r="23">
          <cell r="A23">
            <v>134492000011225</v>
          </cell>
          <cell r="B23">
            <v>456864.31999999995</v>
          </cell>
        </row>
        <row r="24">
          <cell r="A24">
            <v>134782000011607</v>
          </cell>
          <cell r="B24">
            <v>976039.78</v>
          </cell>
        </row>
        <row r="25">
          <cell r="A25">
            <v>134892000011904</v>
          </cell>
          <cell r="B25">
            <v>1108619.23</v>
          </cell>
        </row>
        <row r="26">
          <cell r="A26">
            <v>135172000013127</v>
          </cell>
          <cell r="B26">
            <v>296920.39</v>
          </cell>
        </row>
        <row r="27">
          <cell r="A27">
            <v>135702000011986</v>
          </cell>
          <cell r="B27">
            <v>495.01</v>
          </cell>
        </row>
        <row r="28">
          <cell r="A28">
            <v>136142000012292</v>
          </cell>
          <cell r="B28">
            <v>674903.28</v>
          </cell>
        </row>
        <row r="29">
          <cell r="A29">
            <v>136242000012237</v>
          </cell>
          <cell r="B29">
            <v>776588.1</v>
          </cell>
        </row>
        <row r="30">
          <cell r="A30">
            <v>136732000012909</v>
          </cell>
          <cell r="B30">
            <v>439431.9</v>
          </cell>
        </row>
        <row r="31">
          <cell r="A31">
            <v>136912000012413</v>
          </cell>
          <cell r="B31">
            <v>276826.34999999998</v>
          </cell>
        </row>
        <row r="32">
          <cell r="A32">
            <v>146092000013106</v>
          </cell>
          <cell r="B32">
            <v>341334.58</v>
          </cell>
        </row>
        <row r="33">
          <cell r="A33">
            <v>148112000013330</v>
          </cell>
          <cell r="B33">
            <v>415523.66</v>
          </cell>
        </row>
        <row r="34">
          <cell r="A34">
            <v>149722000013909</v>
          </cell>
          <cell r="B34">
            <v>11</v>
          </cell>
        </row>
        <row r="35">
          <cell r="A35">
            <v>150182000013984</v>
          </cell>
          <cell r="B35">
            <v>535237.48</v>
          </cell>
        </row>
        <row r="36">
          <cell r="A36">
            <v>150252000013969</v>
          </cell>
          <cell r="B36">
            <v>318627.24</v>
          </cell>
        </row>
        <row r="37">
          <cell r="A37">
            <v>150392000013958</v>
          </cell>
          <cell r="B37">
            <v>203.01</v>
          </cell>
        </row>
        <row r="38">
          <cell r="A38">
            <v>150572000014033</v>
          </cell>
          <cell r="B38">
            <v>165692.79999999999</v>
          </cell>
        </row>
        <row r="39">
          <cell r="A39">
            <v>150602000013972</v>
          </cell>
          <cell r="B39">
            <v>153418.67000000001</v>
          </cell>
        </row>
        <row r="40">
          <cell r="A40">
            <v>150632000013978</v>
          </cell>
          <cell r="B40">
            <v>854324.95</v>
          </cell>
        </row>
        <row r="41">
          <cell r="A41">
            <v>150732000013987</v>
          </cell>
          <cell r="B41">
            <v>858266.92</v>
          </cell>
        </row>
        <row r="42">
          <cell r="A42">
            <v>150742000014020</v>
          </cell>
          <cell r="B42">
            <v>282278.71999999997</v>
          </cell>
        </row>
        <row r="43">
          <cell r="A43">
            <v>150772000013989</v>
          </cell>
          <cell r="B43">
            <v>649700.99</v>
          </cell>
        </row>
        <row r="44">
          <cell r="A44">
            <v>150832000013988</v>
          </cell>
          <cell r="B44">
            <v>33840.909999999996</v>
          </cell>
        </row>
        <row r="45">
          <cell r="A45">
            <v>150892000014076</v>
          </cell>
          <cell r="B45">
            <v>125336.94</v>
          </cell>
        </row>
        <row r="46">
          <cell r="A46">
            <v>150922000014038</v>
          </cell>
          <cell r="B46">
            <v>136202.06999999998</v>
          </cell>
        </row>
        <row r="47">
          <cell r="A47">
            <v>150932000014039</v>
          </cell>
          <cell r="B47">
            <v>800297.95000000007</v>
          </cell>
        </row>
        <row r="48">
          <cell r="A48">
            <v>150942000014000</v>
          </cell>
          <cell r="B48">
            <v>119261.6</v>
          </cell>
        </row>
        <row r="49">
          <cell r="A49">
            <v>150982000013999</v>
          </cell>
          <cell r="B49">
            <v>109538.74</v>
          </cell>
        </row>
        <row r="50">
          <cell r="A50">
            <v>151022000014034</v>
          </cell>
          <cell r="B50">
            <v>429592.99</v>
          </cell>
        </row>
        <row r="51">
          <cell r="A51">
            <v>151022000014527</v>
          </cell>
          <cell r="B51">
            <v>525308.82000000007</v>
          </cell>
        </row>
        <row r="52">
          <cell r="A52">
            <v>151032000014021</v>
          </cell>
          <cell r="B52">
            <v>369346.23</v>
          </cell>
        </row>
        <row r="53">
          <cell r="A53">
            <v>151072000014009</v>
          </cell>
          <cell r="B53">
            <v>266583.53000000003</v>
          </cell>
        </row>
        <row r="54">
          <cell r="A54">
            <v>151082000014037</v>
          </cell>
          <cell r="B54">
            <v>11425.710000000001</v>
          </cell>
        </row>
        <row r="55">
          <cell r="A55">
            <v>151092000014023</v>
          </cell>
          <cell r="B55">
            <v>48692.33</v>
          </cell>
        </row>
        <row r="56">
          <cell r="A56">
            <v>151112000014014</v>
          </cell>
          <cell r="B56">
            <v>2060645.81</v>
          </cell>
        </row>
        <row r="57">
          <cell r="A57">
            <v>151112000014518</v>
          </cell>
          <cell r="B57">
            <v>1068038.05</v>
          </cell>
        </row>
        <row r="58">
          <cell r="A58">
            <v>151142000014048</v>
          </cell>
          <cell r="B58">
            <v>689522.5</v>
          </cell>
        </row>
        <row r="59">
          <cell r="A59">
            <v>151182000014011</v>
          </cell>
          <cell r="B59">
            <v>846174.87</v>
          </cell>
        </row>
        <row r="60">
          <cell r="A60">
            <v>151222000014029</v>
          </cell>
          <cell r="B60">
            <v>54269.120000000003</v>
          </cell>
        </row>
        <row r="61">
          <cell r="A61">
            <v>151272000014027</v>
          </cell>
          <cell r="B61">
            <v>162995.46</v>
          </cell>
        </row>
        <row r="62">
          <cell r="A62">
            <v>151312000014030</v>
          </cell>
          <cell r="B62">
            <v>411899.32</v>
          </cell>
        </row>
        <row r="63">
          <cell r="A63">
            <v>151342000014031</v>
          </cell>
          <cell r="B63">
            <v>716836.24</v>
          </cell>
        </row>
        <row r="64">
          <cell r="A64">
            <v>151462000014078</v>
          </cell>
          <cell r="B64">
            <v>244636.26</v>
          </cell>
        </row>
        <row r="65">
          <cell r="A65">
            <v>151512000014110</v>
          </cell>
          <cell r="B65">
            <v>794318.1</v>
          </cell>
        </row>
        <row r="66">
          <cell r="A66">
            <v>151522000014052</v>
          </cell>
          <cell r="B66">
            <v>522365.05</v>
          </cell>
        </row>
        <row r="67">
          <cell r="A67">
            <v>151532000014072</v>
          </cell>
          <cell r="B67">
            <v>443001.39999999997</v>
          </cell>
        </row>
        <row r="68">
          <cell r="A68">
            <v>151542000014042</v>
          </cell>
          <cell r="B68">
            <v>486895.33</v>
          </cell>
        </row>
        <row r="69">
          <cell r="A69">
            <v>151542000014530</v>
          </cell>
          <cell r="B69">
            <v>330269.65999999997</v>
          </cell>
        </row>
        <row r="70">
          <cell r="A70">
            <v>151552000014125</v>
          </cell>
          <cell r="B70">
            <v>664706.17999999993</v>
          </cell>
        </row>
        <row r="71">
          <cell r="A71">
            <v>151602000014049</v>
          </cell>
          <cell r="B71">
            <v>7381538.2199999997</v>
          </cell>
        </row>
        <row r="72">
          <cell r="A72">
            <v>151602000014237</v>
          </cell>
          <cell r="B72">
            <v>1601457.66</v>
          </cell>
        </row>
        <row r="73">
          <cell r="A73">
            <v>151602000014600</v>
          </cell>
          <cell r="B73">
            <v>3533261.66</v>
          </cell>
        </row>
        <row r="74">
          <cell r="A74">
            <v>151642000014041</v>
          </cell>
          <cell r="B74">
            <v>86503.53</v>
          </cell>
        </row>
        <row r="75">
          <cell r="A75">
            <v>15164200007015</v>
          </cell>
          <cell r="B75">
            <v>92752.35</v>
          </cell>
        </row>
        <row r="76">
          <cell r="A76">
            <v>151652000014053</v>
          </cell>
          <cell r="B76">
            <v>1939531.8</v>
          </cell>
        </row>
        <row r="77">
          <cell r="A77">
            <v>151682000014136</v>
          </cell>
          <cell r="B77">
            <v>2147473.21</v>
          </cell>
        </row>
        <row r="78">
          <cell r="A78">
            <v>151702000014077</v>
          </cell>
          <cell r="B78">
            <v>593786.66</v>
          </cell>
        </row>
        <row r="79">
          <cell r="A79">
            <v>151712000014056</v>
          </cell>
          <cell r="B79">
            <v>379275.54</v>
          </cell>
        </row>
        <row r="80">
          <cell r="A80">
            <v>151732000014058</v>
          </cell>
          <cell r="B80">
            <v>596540.13</v>
          </cell>
        </row>
        <row r="81">
          <cell r="A81">
            <v>151742000014057</v>
          </cell>
          <cell r="B81">
            <v>1183563.78</v>
          </cell>
        </row>
        <row r="82">
          <cell r="A82">
            <v>151852000014083</v>
          </cell>
          <cell r="B82">
            <v>51133.560000000005</v>
          </cell>
        </row>
        <row r="83">
          <cell r="A83">
            <v>151972000014087</v>
          </cell>
          <cell r="B83">
            <v>754679.15</v>
          </cell>
        </row>
        <row r="84">
          <cell r="A84">
            <v>152012000014209</v>
          </cell>
          <cell r="B84">
            <v>429278.52999999997</v>
          </cell>
        </row>
        <row r="85">
          <cell r="A85">
            <v>152042000014097</v>
          </cell>
          <cell r="B85">
            <v>1223327.6599999999</v>
          </cell>
        </row>
        <row r="86">
          <cell r="A86">
            <v>152292000014348</v>
          </cell>
          <cell r="B86">
            <v>8494.25</v>
          </cell>
        </row>
        <row r="87">
          <cell r="A87">
            <v>152322000014139</v>
          </cell>
          <cell r="B87">
            <v>432642.22000000003</v>
          </cell>
        </row>
        <row r="88">
          <cell r="A88">
            <v>152332000014186</v>
          </cell>
          <cell r="B88">
            <v>1025190.34</v>
          </cell>
        </row>
        <row r="89">
          <cell r="A89">
            <v>152342000014182</v>
          </cell>
          <cell r="B89">
            <v>358659.24</v>
          </cell>
        </row>
        <row r="90">
          <cell r="A90">
            <v>152352000014140</v>
          </cell>
          <cell r="B90">
            <v>303857.86</v>
          </cell>
        </row>
        <row r="91">
          <cell r="A91">
            <v>152362000014184</v>
          </cell>
          <cell r="B91">
            <v>419441.61</v>
          </cell>
        </row>
        <row r="92">
          <cell r="A92">
            <v>152372000014181</v>
          </cell>
          <cell r="B92">
            <v>830483.04</v>
          </cell>
        </row>
        <row r="93">
          <cell r="A93">
            <v>152382000014180</v>
          </cell>
          <cell r="B93">
            <v>235187.54</v>
          </cell>
        </row>
        <row r="94">
          <cell r="A94">
            <v>152402000014137</v>
          </cell>
          <cell r="B94">
            <v>474501.13</v>
          </cell>
        </row>
        <row r="95">
          <cell r="A95">
            <v>152432000014172</v>
          </cell>
          <cell r="B95">
            <v>1021218.36</v>
          </cell>
        </row>
        <row r="96">
          <cell r="A96">
            <v>152502000014135</v>
          </cell>
          <cell r="B96">
            <v>103063.51000000001</v>
          </cell>
        </row>
        <row r="97">
          <cell r="A97">
            <v>153042000014177</v>
          </cell>
          <cell r="B97">
            <v>839483.45</v>
          </cell>
        </row>
        <row r="98">
          <cell r="A98">
            <v>153242000014191</v>
          </cell>
          <cell r="B98">
            <v>217644.77</v>
          </cell>
        </row>
        <row r="99">
          <cell r="A99">
            <v>153282000014179</v>
          </cell>
          <cell r="B99">
            <v>993306.41</v>
          </cell>
        </row>
        <row r="100">
          <cell r="A100">
            <v>153352000014279</v>
          </cell>
          <cell r="B100">
            <v>36403238.310000002</v>
          </cell>
        </row>
        <row r="101">
          <cell r="A101">
            <v>153362000014281</v>
          </cell>
          <cell r="B101">
            <v>298017.24000000005</v>
          </cell>
        </row>
        <row r="102">
          <cell r="A102">
            <v>153382000014188</v>
          </cell>
          <cell r="B102">
            <v>527045.39</v>
          </cell>
        </row>
        <row r="103">
          <cell r="A103">
            <v>153462000014205</v>
          </cell>
          <cell r="B103">
            <v>331325.58</v>
          </cell>
        </row>
        <row r="104">
          <cell r="A104">
            <v>153472000014206</v>
          </cell>
          <cell r="B104">
            <v>405803.1</v>
          </cell>
        </row>
        <row r="105">
          <cell r="A105">
            <v>153492000014207</v>
          </cell>
          <cell r="B105">
            <v>1380.7</v>
          </cell>
        </row>
        <row r="106">
          <cell r="A106">
            <v>153772000014239</v>
          </cell>
          <cell r="B106">
            <v>189200.55000000002</v>
          </cell>
        </row>
        <row r="107">
          <cell r="A107">
            <v>153932000014271</v>
          </cell>
          <cell r="B107">
            <v>150599.26999999999</v>
          </cell>
        </row>
        <row r="108">
          <cell r="A108">
            <v>1541020000142940</v>
          </cell>
          <cell r="B108">
            <v>1</v>
          </cell>
        </row>
        <row r="109">
          <cell r="A109">
            <v>154192000014304</v>
          </cell>
          <cell r="B109">
            <v>794074.91999999993</v>
          </cell>
        </row>
        <row r="110">
          <cell r="A110">
            <v>154222000014364</v>
          </cell>
          <cell r="B110">
            <v>2791954.4</v>
          </cell>
        </row>
        <row r="111">
          <cell r="A111">
            <v>154222000014490</v>
          </cell>
          <cell r="B111">
            <v>143979.96</v>
          </cell>
        </row>
        <row r="112">
          <cell r="A112">
            <v>154222000014491</v>
          </cell>
          <cell r="B112">
            <v>8111748.54</v>
          </cell>
        </row>
        <row r="113">
          <cell r="A113">
            <v>154222000014492</v>
          </cell>
          <cell r="B113">
            <v>68570.259999999995</v>
          </cell>
        </row>
        <row r="114">
          <cell r="A114">
            <v>154222000014493</v>
          </cell>
          <cell r="B114">
            <v>101163.01999999999</v>
          </cell>
        </row>
        <row r="115">
          <cell r="A115">
            <v>154222000014499</v>
          </cell>
          <cell r="B115">
            <v>19322933.059999999</v>
          </cell>
        </row>
        <row r="116">
          <cell r="A116">
            <v>154282000014328</v>
          </cell>
          <cell r="B116">
            <v>189640.5</v>
          </cell>
        </row>
        <row r="117">
          <cell r="A117">
            <v>154282000014331</v>
          </cell>
          <cell r="B117">
            <v>30.02</v>
          </cell>
        </row>
        <row r="118">
          <cell r="A118">
            <v>154292000014338</v>
          </cell>
          <cell r="B118">
            <v>50</v>
          </cell>
        </row>
        <row r="119">
          <cell r="A119">
            <v>154312000014334</v>
          </cell>
          <cell r="B119">
            <v>13698367.59</v>
          </cell>
        </row>
        <row r="120">
          <cell r="A120">
            <v>154312000014335</v>
          </cell>
          <cell r="B120">
            <v>1579242.71</v>
          </cell>
        </row>
        <row r="121">
          <cell r="A121">
            <v>154312000014336</v>
          </cell>
          <cell r="B121">
            <v>514887.66</v>
          </cell>
        </row>
        <row r="122">
          <cell r="A122">
            <v>154362000014357</v>
          </cell>
          <cell r="B122">
            <v>990785.14</v>
          </cell>
        </row>
        <row r="123">
          <cell r="A123">
            <v>154382000014351</v>
          </cell>
          <cell r="B123">
            <v>893494.52999999991</v>
          </cell>
        </row>
        <row r="124">
          <cell r="A124">
            <v>154622000014365</v>
          </cell>
          <cell r="B124">
            <v>636854.87</v>
          </cell>
        </row>
        <row r="125">
          <cell r="A125">
            <v>154652000014387</v>
          </cell>
          <cell r="B125">
            <v>273994.93</v>
          </cell>
        </row>
        <row r="126">
          <cell r="A126">
            <v>154742000014381</v>
          </cell>
          <cell r="B126">
            <v>261196.53</v>
          </cell>
        </row>
        <row r="127">
          <cell r="A127">
            <v>154812000014395</v>
          </cell>
          <cell r="B127">
            <v>19507.75</v>
          </cell>
        </row>
        <row r="128">
          <cell r="A128">
            <v>155012000014388</v>
          </cell>
          <cell r="B128">
            <v>436178.28</v>
          </cell>
        </row>
        <row r="129">
          <cell r="A129">
            <v>155132000014399</v>
          </cell>
          <cell r="B129">
            <v>598819.17999999993</v>
          </cell>
        </row>
        <row r="130">
          <cell r="A130">
            <v>155232000014397</v>
          </cell>
          <cell r="B130">
            <v>387299.56</v>
          </cell>
        </row>
        <row r="131">
          <cell r="A131">
            <v>155272000014403</v>
          </cell>
          <cell r="B131">
            <v>87897.93</v>
          </cell>
        </row>
        <row r="132">
          <cell r="A132">
            <v>155422000014433</v>
          </cell>
          <cell r="B132">
            <v>823913.96</v>
          </cell>
        </row>
        <row r="133">
          <cell r="A133">
            <v>155442000014461</v>
          </cell>
          <cell r="B133">
            <v>100</v>
          </cell>
        </row>
        <row r="134">
          <cell r="A134">
            <v>15544200007016</v>
          </cell>
          <cell r="B134">
            <v>690.13</v>
          </cell>
        </row>
        <row r="135">
          <cell r="A135">
            <v>155452000014450</v>
          </cell>
          <cell r="B135">
            <v>977744.8</v>
          </cell>
        </row>
        <row r="136">
          <cell r="A136">
            <v>155462000014438</v>
          </cell>
          <cell r="B136">
            <v>938711.42</v>
          </cell>
        </row>
        <row r="137">
          <cell r="A137">
            <v>155532000014451</v>
          </cell>
          <cell r="B137">
            <v>37134.559999999998</v>
          </cell>
        </row>
        <row r="138">
          <cell r="A138">
            <v>155552000014453</v>
          </cell>
          <cell r="B138">
            <v>654401.04</v>
          </cell>
        </row>
        <row r="139">
          <cell r="A139">
            <v>155552000014454</v>
          </cell>
          <cell r="B139">
            <v>855589.58000000007</v>
          </cell>
        </row>
        <row r="140">
          <cell r="A140">
            <v>155572000014482</v>
          </cell>
          <cell r="B140">
            <v>557336.52999999991</v>
          </cell>
        </row>
        <row r="141">
          <cell r="A141">
            <v>155632000014487</v>
          </cell>
          <cell r="B141">
            <v>492890.32</v>
          </cell>
        </row>
        <row r="142">
          <cell r="A142">
            <v>155732000014484</v>
          </cell>
          <cell r="B142">
            <v>29742.86</v>
          </cell>
        </row>
        <row r="143">
          <cell r="A143">
            <v>155802000014468</v>
          </cell>
          <cell r="B143">
            <v>411394.15</v>
          </cell>
        </row>
        <row r="144">
          <cell r="A144">
            <v>155942000014512</v>
          </cell>
          <cell r="B144">
            <v>57066.52</v>
          </cell>
        </row>
        <row r="145">
          <cell r="A145">
            <v>156022000014511</v>
          </cell>
          <cell r="B145">
            <v>24092.04</v>
          </cell>
        </row>
        <row r="146">
          <cell r="A146">
            <v>156062000014506</v>
          </cell>
          <cell r="B146">
            <v>1806142.93</v>
          </cell>
        </row>
        <row r="147">
          <cell r="A147">
            <v>156072000014504</v>
          </cell>
          <cell r="B147">
            <v>960840.02</v>
          </cell>
        </row>
        <row r="148">
          <cell r="A148">
            <v>156122000014514</v>
          </cell>
          <cell r="B148">
            <v>441526.66</v>
          </cell>
        </row>
        <row r="149">
          <cell r="A149">
            <v>156212000014533</v>
          </cell>
          <cell r="B149">
            <v>194083.29</v>
          </cell>
        </row>
        <row r="150">
          <cell r="A150">
            <v>156232000014529</v>
          </cell>
          <cell r="B150">
            <v>450773.26999999996</v>
          </cell>
        </row>
        <row r="151">
          <cell r="A151">
            <v>156312000014535</v>
          </cell>
          <cell r="B151">
            <v>292067.96999999997</v>
          </cell>
        </row>
        <row r="152">
          <cell r="A152">
            <v>156342000014525</v>
          </cell>
          <cell r="B152">
            <v>2394398.9</v>
          </cell>
        </row>
        <row r="153">
          <cell r="A153">
            <v>156362000014526</v>
          </cell>
          <cell r="B153">
            <v>2999144.69</v>
          </cell>
        </row>
        <row r="154">
          <cell r="A154">
            <v>156392000014538</v>
          </cell>
          <cell r="B154">
            <v>5582.79</v>
          </cell>
        </row>
        <row r="155">
          <cell r="A155">
            <v>156412000014534</v>
          </cell>
          <cell r="B155">
            <v>204.01</v>
          </cell>
        </row>
        <row r="156">
          <cell r="A156">
            <v>156422000014548</v>
          </cell>
          <cell r="B156">
            <v>181616.75999999998</v>
          </cell>
        </row>
        <row r="157">
          <cell r="A157">
            <v>156512000014549</v>
          </cell>
          <cell r="B157">
            <v>17324.140000000003</v>
          </cell>
        </row>
        <row r="158">
          <cell r="A158">
            <v>156562000014551</v>
          </cell>
          <cell r="B158">
            <v>1135668.07</v>
          </cell>
        </row>
        <row r="159">
          <cell r="A159">
            <v>156572000014603</v>
          </cell>
          <cell r="B159">
            <v>339197.52</v>
          </cell>
        </row>
        <row r="160">
          <cell r="A160">
            <v>156592000014586</v>
          </cell>
          <cell r="B160">
            <v>393821.41</v>
          </cell>
        </row>
        <row r="161">
          <cell r="A161">
            <v>156642000014589</v>
          </cell>
          <cell r="B161">
            <v>182211.06</v>
          </cell>
        </row>
        <row r="162">
          <cell r="A162">
            <v>156652000014602</v>
          </cell>
          <cell r="B162">
            <v>607123.62</v>
          </cell>
        </row>
        <row r="163">
          <cell r="A163">
            <v>156682000014718</v>
          </cell>
          <cell r="B163">
            <v>1073832.69</v>
          </cell>
        </row>
        <row r="164">
          <cell r="A164">
            <v>156692000014719</v>
          </cell>
          <cell r="B164">
            <v>773640.53999999992</v>
          </cell>
        </row>
        <row r="165">
          <cell r="A165">
            <v>156782000014648</v>
          </cell>
          <cell r="B165">
            <v>12938.46</v>
          </cell>
        </row>
        <row r="166">
          <cell r="A166">
            <v>156812000014722</v>
          </cell>
          <cell r="B166">
            <v>152916.72</v>
          </cell>
        </row>
        <row r="167">
          <cell r="A167">
            <v>156832000014659</v>
          </cell>
          <cell r="B167">
            <v>336924.38</v>
          </cell>
        </row>
        <row r="168">
          <cell r="A168">
            <v>156862000014650</v>
          </cell>
          <cell r="B168">
            <v>175333.62</v>
          </cell>
        </row>
        <row r="169">
          <cell r="A169">
            <v>156872000014651</v>
          </cell>
          <cell r="B169">
            <v>397216.51</v>
          </cell>
        </row>
        <row r="170">
          <cell r="A170">
            <v>156882000014654</v>
          </cell>
          <cell r="B170">
            <v>52038.01</v>
          </cell>
        </row>
        <row r="171">
          <cell r="A171">
            <v>156902000014658</v>
          </cell>
          <cell r="B171">
            <v>229068.48</v>
          </cell>
        </row>
        <row r="172">
          <cell r="A172">
            <v>156962000014710</v>
          </cell>
          <cell r="B172">
            <v>150012.97</v>
          </cell>
        </row>
        <row r="173">
          <cell r="A173">
            <v>156992000014665</v>
          </cell>
          <cell r="B173">
            <v>715600.22</v>
          </cell>
        </row>
        <row r="174">
          <cell r="A174">
            <v>157002000014713</v>
          </cell>
          <cell r="B174">
            <v>206835.66999999998</v>
          </cell>
        </row>
        <row r="175">
          <cell r="A175">
            <v>157042000014712</v>
          </cell>
          <cell r="B175">
            <v>290.14</v>
          </cell>
        </row>
        <row r="176">
          <cell r="A176">
            <v>157152000014717</v>
          </cell>
          <cell r="B176">
            <v>7663.83</v>
          </cell>
        </row>
        <row r="177">
          <cell r="A177">
            <v>157162000014720</v>
          </cell>
          <cell r="B177">
            <v>130.06</v>
          </cell>
        </row>
        <row r="178">
          <cell r="A178">
            <v>157292000014747</v>
          </cell>
          <cell r="B178">
            <v>467353.23</v>
          </cell>
        </row>
        <row r="179">
          <cell r="A179">
            <v>157742000014826</v>
          </cell>
          <cell r="B179">
            <v>155121.34</v>
          </cell>
        </row>
        <row r="180">
          <cell r="A180">
            <v>300000200007001</v>
          </cell>
          <cell r="B180">
            <v>130777.36</v>
          </cell>
        </row>
        <row r="181">
          <cell r="A181">
            <v>300001200007002</v>
          </cell>
          <cell r="B181">
            <v>1329664.5</v>
          </cell>
        </row>
        <row r="182">
          <cell r="A182">
            <v>300003200007004</v>
          </cell>
          <cell r="B182">
            <v>184115.92</v>
          </cell>
        </row>
        <row r="183">
          <cell r="A183">
            <v>300004200007005</v>
          </cell>
          <cell r="B183">
            <v>347067.45</v>
          </cell>
        </row>
        <row r="184">
          <cell r="A184">
            <v>300006200007010</v>
          </cell>
          <cell r="B184">
            <v>31691.84</v>
          </cell>
        </row>
        <row r="185">
          <cell r="A185">
            <v>300007200007010</v>
          </cell>
          <cell r="B185">
            <v>172944.43</v>
          </cell>
        </row>
        <row r="186">
          <cell r="A186">
            <v>300009200007013</v>
          </cell>
          <cell r="B186">
            <v>448.23</v>
          </cell>
        </row>
        <row r="187">
          <cell r="A187">
            <v>3000102000007010</v>
          </cell>
          <cell r="B187">
            <v>71301.62999999999</v>
          </cell>
        </row>
        <row r="188">
          <cell r="A188">
            <v>3000112000007010</v>
          </cell>
          <cell r="B188">
            <v>186.09</v>
          </cell>
        </row>
        <row r="189">
          <cell r="A189">
            <v>3000122000007010</v>
          </cell>
          <cell r="B189">
            <v>635501.59</v>
          </cell>
        </row>
        <row r="190">
          <cell r="A190">
            <v>3000132000007010</v>
          </cell>
          <cell r="B190">
            <v>6</v>
          </cell>
        </row>
        <row r="191">
          <cell r="A191">
            <v>3000172000007010</v>
          </cell>
          <cell r="B191">
            <v>990815.75999999989</v>
          </cell>
        </row>
        <row r="192">
          <cell r="A192">
            <v>300019200007019</v>
          </cell>
          <cell r="B192">
            <v>24.01</v>
          </cell>
        </row>
        <row r="193">
          <cell r="A193">
            <v>300020200007020</v>
          </cell>
          <cell r="B193">
            <v>39285.629999999997</v>
          </cell>
        </row>
        <row r="194">
          <cell r="A194">
            <v>300021200007021</v>
          </cell>
          <cell r="B194">
            <v>805400.15</v>
          </cell>
        </row>
        <row r="195">
          <cell r="A195">
            <v>3000222000007020</v>
          </cell>
          <cell r="B195">
            <v>699271.37</v>
          </cell>
        </row>
        <row r="196">
          <cell r="A196">
            <v>3000232000007020</v>
          </cell>
          <cell r="B196">
            <v>743767.70000000007</v>
          </cell>
        </row>
        <row r="197">
          <cell r="A197">
            <v>3000272000007020</v>
          </cell>
          <cell r="B197">
            <v>17858.920000000002</v>
          </cell>
        </row>
        <row r="198">
          <cell r="A198">
            <v>3000282000007020</v>
          </cell>
          <cell r="B198">
            <v>145320.35999999999</v>
          </cell>
        </row>
        <row r="199">
          <cell r="A199">
            <v>300029200007029</v>
          </cell>
          <cell r="B199">
            <v>105148.55</v>
          </cell>
        </row>
        <row r="200">
          <cell r="A200">
            <v>300030200007030</v>
          </cell>
          <cell r="B200">
            <v>144.07999999999998</v>
          </cell>
        </row>
        <row r="201">
          <cell r="A201">
            <v>300031200007031</v>
          </cell>
          <cell r="B201">
            <v>82.050000000000011</v>
          </cell>
        </row>
        <row r="202">
          <cell r="A202">
            <v>300032200007032</v>
          </cell>
          <cell r="B202">
            <v>124.06</v>
          </cell>
        </row>
        <row r="203">
          <cell r="A203">
            <v>300034200007034</v>
          </cell>
          <cell r="B203">
            <v>289570.46000000002</v>
          </cell>
        </row>
        <row r="204">
          <cell r="A204">
            <v>300039200007039</v>
          </cell>
          <cell r="B204">
            <v>6652513.4900000002</v>
          </cell>
        </row>
        <row r="205">
          <cell r="A205">
            <v>300042200007042</v>
          </cell>
          <cell r="B205">
            <v>65428.7</v>
          </cell>
        </row>
        <row r="206">
          <cell r="A206">
            <v>300043200007043</v>
          </cell>
          <cell r="B206">
            <v>296.14999999999998</v>
          </cell>
        </row>
        <row r="207">
          <cell r="A207">
            <v>300044200007044</v>
          </cell>
          <cell r="B207">
            <v>120.06</v>
          </cell>
        </row>
        <row r="208">
          <cell r="A208">
            <v>300045200007045</v>
          </cell>
          <cell r="B208">
            <v>115</v>
          </cell>
        </row>
        <row r="209">
          <cell r="A209">
            <v>300047200007049</v>
          </cell>
          <cell r="B209">
            <v>242.12</v>
          </cell>
        </row>
        <row r="210">
          <cell r="A210">
            <v>300048200007048</v>
          </cell>
          <cell r="B210">
            <v>40606.29</v>
          </cell>
        </row>
        <row r="211">
          <cell r="A211">
            <v>300050200007050</v>
          </cell>
          <cell r="B211">
            <v>3675.84</v>
          </cell>
        </row>
        <row r="212">
          <cell r="A212">
            <v>300051200007051</v>
          </cell>
          <cell r="B212">
            <v>1494.75</v>
          </cell>
        </row>
        <row r="213">
          <cell r="A213">
            <v>300052200007052</v>
          </cell>
          <cell r="B213">
            <v>65800.88</v>
          </cell>
        </row>
        <row r="214">
          <cell r="A214">
            <v>300053200007053</v>
          </cell>
          <cell r="B214">
            <v>12374.18</v>
          </cell>
        </row>
        <row r="215">
          <cell r="A215">
            <v>300054200007054</v>
          </cell>
          <cell r="B215">
            <v>194121.31</v>
          </cell>
        </row>
        <row r="216">
          <cell r="A216">
            <v>300055200007055</v>
          </cell>
          <cell r="B216">
            <v>1</v>
          </cell>
        </row>
        <row r="217">
          <cell r="A217">
            <v>300056200007056</v>
          </cell>
          <cell r="B217">
            <v>360.18</v>
          </cell>
        </row>
        <row r="218">
          <cell r="A218">
            <v>300057200007057</v>
          </cell>
          <cell r="B218">
            <v>128.06</v>
          </cell>
        </row>
        <row r="219">
          <cell r="A219">
            <v>300059200007059</v>
          </cell>
          <cell r="B219">
            <v>1273086.1399999999</v>
          </cell>
        </row>
        <row r="220">
          <cell r="A220">
            <v>300060200007060</v>
          </cell>
          <cell r="B220">
            <v>317130.49</v>
          </cell>
        </row>
        <row r="221">
          <cell r="A221">
            <v>300062200007062</v>
          </cell>
          <cell r="B221">
            <v>64.03</v>
          </cell>
        </row>
        <row r="222">
          <cell r="A222">
            <v>300064200007064</v>
          </cell>
          <cell r="B222">
            <v>116017.98</v>
          </cell>
        </row>
        <row r="223">
          <cell r="A223">
            <v>300065200007065</v>
          </cell>
          <cell r="B223">
            <v>24.01</v>
          </cell>
        </row>
        <row r="224">
          <cell r="A224">
            <v>300067200007067</v>
          </cell>
          <cell r="B224">
            <v>551113.41999999993</v>
          </cell>
        </row>
        <row r="225">
          <cell r="A225">
            <v>300068200007068</v>
          </cell>
          <cell r="B225">
            <v>331001.42000000004</v>
          </cell>
        </row>
        <row r="226">
          <cell r="A226">
            <v>300069200007069</v>
          </cell>
          <cell r="B226">
            <v>1358.68</v>
          </cell>
        </row>
        <row r="227">
          <cell r="A227">
            <v>300074200007074</v>
          </cell>
          <cell r="B227">
            <v>100.05</v>
          </cell>
        </row>
        <row r="228">
          <cell r="A228">
            <v>300075200007075</v>
          </cell>
          <cell r="B228">
            <v>1192.5900000000001</v>
          </cell>
        </row>
        <row r="229">
          <cell r="A229">
            <v>300076200007076</v>
          </cell>
          <cell r="B229">
            <v>120992.47</v>
          </cell>
        </row>
        <row r="230">
          <cell r="A230">
            <v>300077200007077</v>
          </cell>
          <cell r="B230">
            <v>243419.31</v>
          </cell>
        </row>
        <row r="231">
          <cell r="A231">
            <v>300078200007078</v>
          </cell>
          <cell r="B231">
            <v>209233.54</v>
          </cell>
        </row>
        <row r="232">
          <cell r="A232">
            <v>300081200007081</v>
          </cell>
          <cell r="B232">
            <v>738.37</v>
          </cell>
        </row>
        <row r="233">
          <cell r="A233">
            <v>300081200007082</v>
          </cell>
          <cell r="B233">
            <v>1714.8600000000001</v>
          </cell>
        </row>
        <row r="234">
          <cell r="A234">
            <v>300085200007086</v>
          </cell>
          <cell r="B234">
            <v>176.09</v>
          </cell>
        </row>
        <row r="235">
          <cell r="A235">
            <v>300087200007088</v>
          </cell>
          <cell r="B235">
            <v>9368.68</v>
          </cell>
        </row>
        <row r="236">
          <cell r="A236">
            <v>300089200007089</v>
          </cell>
          <cell r="B236">
            <v>2816021.3099999996</v>
          </cell>
        </row>
        <row r="237">
          <cell r="A237">
            <v>300091200007091</v>
          </cell>
          <cell r="B237">
            <v>188.09</v>
          </cell>
        </row>
        <row r="238">
          <cell r="A238">
            <v>300093200007093</v>
          </cell>
          <cell r="B238">
            <v>525110.72</v>
          </cell>
        </row>
        <row r="239">
          <cell r="A239">
            <v>300093200007094</v>
          </cell>
          <cell r="B239">
            <v>253082.48</v>
          </cell>
        </row>
        <row r="240">
          <cell r="A240">
            <v>300096200007096</v>
          </cell>
          <cell r="B240">
            <v>376.19</v>
          </cell>
        </row>
        <row r="241">
          <cell r="A241">
            <v>300097200007097</v>
          </cell>
          <cell r="B241">
            <v>5246.6200000000008</v>
          </cell>
        </row>
        <row r="242">
          <cell r="A242">
            <v>300100200007100</v>
          </cell>
          <cell r="B242">
            <v>659143.41</v>
          </cell>
        </row>
        <row r="243">
          <cell r="A243">
            <v>300100200007101</v>
          </cell>
          <cell r="B243">
            <v>90933.439999999988</v>
          </cell>
        </row>
        <row r="244">
          <cell r="A244">
            <v>300100200007102</v>
          </cell>
          <cell r="B244">
            <v>38951.29</v>
          </cell>
        </row>
        <row r="245">
          <cell r="A245">
            <v>300100200007103</v>
          </cell>
          <cell r="B245">
            <v>527.23</v>
          </cell>
        </row>
        <row r="246">
          <cell r="A246">
            <v>300100200007104</v>
          </cell>
          <cell r="B246">
            <v>1068.25</v>
          </cell>
        </row>
        <row r="247">
          <cell r="A247">
            <v>300100200007105</v>
          </cell>
          <cell r="B247">
            <v>682.34</v>
          </cell>
        </row>
        <row r="248">
          <cell r="A248">
            <v>300100200007108</v>
          </cell>
          <cell r="B248">
            <v>680.97</v>
          </cell>
        </row>
        <row r="249">
          <cell r="A249">
            <v>300100200007110</v>
          </cell>
          <cell r="B249">
            <v>222.12</v>
          </cell>
        </row>
        <row r="250">
          <cell r="A250">
            <v>300100200007112</v>
          </cell>
          <cell r="B250">
            <v>233.02</v>
          </cell>
        </row>
        <row r="251">
          <cell r="A251">
            <v>300100200007116</v>
          </cell>
          <cell r="B251">
            <v>70.040000000000006</v>
          </cell>
        </row>
        <row r="252">
          <cell r="A252">
            <v>300100200007119</v>
          </cell>
          <cell r="B252">
            <v>1455.12</v>
          </cell>
        </row>
        <row r="253">
          <cell r="A253">
            <v>300100200007120</v>
          </cell>
          <cell r="B253">
            <v>239.98</v>
          </cell>
        </row>
        <row r="254">
          <cell r="A254">
            <v>300100200007122</v>
          </cell>
          <cell r="B254">
            <v>100</v>
          </cell>
        </row>
        <row r="255">
          <cell r="A255">
            <v>300100200007123</v>
          </cell>
          <cell r="B255">
            <v>264</v>
          </cell>
        </row>
        <row r="256">
          <cell r="A256">
            <v>300100200007125</v>
          </cell>
          <cell r="B256">
            <v>6</v>
          </cell>
        </row>
        <row r="257">
          <cell r="A257">
            <v>300100200007127</v>
          </cell>
          <cell r="B257">
            <v>268.62</v>
          </cell>
        </row>
        <row r="258">
          <cell r="A258">
            <v>300100200007128</v>
          </cell>
          <cell r="B258">
            <v>25.01</v>
          </cell>
        </row>
        <row r="259">
          <cell r="A259">
            <v>30011900007129</v>
          </cell>
          <cell r="B259">
            <v>210.04000000000002</v>
          </cell>
        </row>
        <row r="260">
          <cell r="A260">
            <v>30011900007131</v>
          </cell>
          <cell r="B260">
            <v>2323.17</v>
          </cell>
        </row>
        <row r="261">
          <cell r="A261">
            <v>30011900007133</v>
          </cell>
          <cell r="B261">
            <v>71361.67</v>
          </cell>
        </row>
        <row r="262">
          <cell r="A262">
            <v>30012500007135</v>
          </cell>
          <cell r="B262">
            <v>264914.39</v>
          </cell>
        </row>
        <row r="263">
          <cell r="A263">
            <v>30012500007137</v>
          </cell>
          <cell r="B263">
            <v>6813.41</v>
          </cell>
        </row>
        <row r="264">
          <cell r="A264">
            <v>30012500007138</v>
          </cell>
          <cell r="B264">
            <v>1812.9099999999999</v>
          </cell>
        </row>
        <row r="265">
          <cell r="A265">
            <v>30012500007139</v>
          </cell>
          <cell r="B265">
            <v>11526.76</v>
          </cell>
        </row>
        <row r="266">
          <cell r="A266">
            <v>30012500007140</v>
          </cell>
          <cell r="B266">
            <v>7330.3</v>
          </cell>
        </row>
        <row r="267">
          <cell r="A267">
            <v>30012500007141</v>
          </cell>
          <cell r="B267">
            <v>1100.0899999999999</v>
          </cell>
        </row>
        <row r="268">
          <cell r="A268">
            <v>30012500007142</v>
          </cell>
          <cell r="B268">
            <v>1199.98</v>
          </cell>
        </row>
        <row r="269">
          <cell r="A269">
            <v>30012800007149</v>
          </cell>
          <cell r="B269">
            <v>10399.200000000001</v>
          </cell>
        </row>
        <row r="270">
          <cell r="A270">
            <v>30013400007151</v>
          </cell>
          <cell r="B270">
            <v>18920.29</v>
          </cell>
        </row>
        <row r="271">
          <cell r="A271">
            <v>30013400007152</v>
          </cell>
          <cell r="B271">
            <v>9850.4</v>
          </cell>
        </row>
        <row r="272">
          <cell r="A272">
            <v>30013400007156</v>
          </cell>
          <cell r="B272">
            <v>7941.97</v>
          </cell>
        </row>
        <row r="273">
          <cell r="A273">
            <v>30013400007160</v>
          </cell>
          <cell r="B273">
            <v>4</v>
          </cell>
        </row>
        <row r="274">
          <cell r="A274">
            <v>30013400007166</v>
          </cell>
          <cell r="B274">
            <v>842.42</v>
          </cell>
        </row>
        <row r="275">
          <cell r="A275">
            <v>30013400007171</v>
          </cell>
          <cell r="B275">
            <v>360.18</v>
          </cell>
        </row>
        <row r="276">
          <cell r="A276">
            <v>30013400007175</v>
          </cell>
          <cell r="B276">
            <v>2.96</v>
          </cell>
        </row>
        <row r="277">
          <cell r="A277">
            <v>30013400007177</v>
          </cell>
          <cell r="B277">
            <v>16</v>
          </cell>
        </row>
        <row r="278">
          <cell r="A278">
            <v>30013400007179</v>
          </cell>
          <cell r="B278">
            <v>36882.519999999997</v>
          </cell>
        </row>
        <row r="279">
          <cell r="A279">
            <v>30013400007196</v>
          </cell>
          <cell r="B279">
            <v>756850.23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T Over"/>
      <sheetName val="Detail"/>
    </sheetNames>
    <sheetDataSet>
      <sheetData sheetId="0">
        <row r="1">
          <cell r="A1" t="str">
            <v>SERVICE_ID</v>
          </cell>
          <cell r="B1" t="str">
            <v>Short_Code</v>
          </cell>
          <cell r="C1" t="str">
            <v>SGMT_TYPE</v>
          </cell>
          <cell r="D1" t="str">
            <v>TOT_SMS</v>
          </cell>
          <cell r="E1" t="str">
            <v>EXCESS_SMS_COUNT</v>
          </cell>
          <cell r="F1" t="str">
            <v>TOT_REV</v>
          </cell>
          <cell r="G1" t="str">
            <v>EXCESS_REV</v>
          </cell>
        </row>
        <row r="2">
          <cell r="A2" t="str">
            <v>0154142000014296</v>
          </cell>
          <cell r="B2">
            <v>9923</v>
          </cell>
          <cell r="C2">
            <v>0</v>
          </cell>
          <cell r="D2">
            <v>213621</v>
          </cell>
          <cell r="E2">
            <v>5896</v>
          </cell>
          <cell r="F2">
            <v>213750.82199999999</v>
          </cell>
          <cell r="G2">
            <v>5898.9480000000003</v>
          </cell>
        </row>
        <row r="3">
          <cell r="A3" t="str">
            <v>0057152000003854</v>
          </cell>
          <cell r="B3">
            <v>8161</v>
          </cell>
          <cell r="C3">
            <v>0</v>
          </cell>
          <cell r="D3">
            <v>3088431</v>
          </cell>
          <cell r="E3">
            <v>10131</v>
          </cell>
          <cell r="F3">
            <v>3090354.3615000001</v>
          </cell>
          <cell r="G3">
            <v>10141.067999999999</v>
          </cell>
        </row>
        <row r="4">
          <cell r="A4" t="str">
            <v>30022700007274</v>
          </cell>
          <cell r="B4">
            <v>6802</v>
          </cell>
          <cell r="C4">
            <v>0</v>
          </cell>
          <cell r="D4">
            <v>663</v>
          </cell>
          <cell r="E4">
            <v>0</v>
          </cell>
          <cell r="F4">
            <v>663.33150000000001</v>
          </cell>
          <cell r="G4">
            <v>0</v>
          </cell>
        </row>
        <row r="5">
          <cell r="A5" t="str">
            <v>30025100007313</v>
          </cell>
          <cell r="B5">
            <v>8960</v>
          </cell>
          <cell r="C5">
            <v>0</v>
          </cell>
          <cell r="D5">
            <v>56</v>
          </cell>
          <cell r="E5">
            <v>31</v>
          </cell>
          <cell r="F5">
            <v>56.027999999999999</v>
          </cell>
          <cell r="G5">
            <v>31.015499999999999</v>
          </cell>
        </row>
        <row r="6">
          <cell r="A6" t="str">
            <v>0042462000002819</v>
          </cell>
          <cell r="B6">
            <v>8444</v>
          </cell>
          <cell r="C6">
            <v>0</v>
          </cell>
          <cell r="D6">
            <v>54</v>
          </cell>
          <cell r="E6">
            <v>13</v>
          </cell>
          <cell r="F6">
            <v>108.054</v>
          </cell>
          <cell r="G6">
            <v>26.013000000000002</v>
          </cell>
        </row>
        <row r="7">
          <cell r="A7" t="str">
            <v>30025600007323</v>
          </cell>
          <cell r="B7">
            <v>6368</v>
          </cell>
          <cell r="C7">
            <v>0</v>
          </cell>
          <cell r="D7">
            <v>10</v>
          </cell>
          <cell r="E7">
            <v>0</v>
          </cell>
          <cell r="F7">
            <v>149.96</v>
          </cell>
          <cell r="G7">
            <v>0</v>
          </cell>
        </row>
        <row r="8">
          <cell r="A8" t="str">
            <v>300209200007241</v>
          </cell>
          <cell r="B8">
            <v>6650</v>
          </cell>
          <cell r="C8">
            <v>0</v>
          </cell>
          <cell r="D8">
            <v>4443</v>
          </cell>
          <cell r="E8">
            <v>131</v>
          </cell>
          <cell r="F8">
            <v>4446.2219999999998</v>
          </cell>
          <cell r="G8">
            <v>131.06549999999999</v>
          </cell>
        </row>
        <row r="9">
          <cell r="A9" t="str">
            <v>0104952000005109</v>
          </cell>
          <cell r="B9">
            <v>6764</v>
          </cell>
          <cell r="C9">
            <v>0</v>
          </cell>
          <cell r="D9">
            <v>1243156</v>
          </cell>
          <cell r="E9">
            <v>22395</v>
          </cell>
          <cell r="F9">
            <v>1243774.446</v>
          </cell>
          <cell r="G9">
            <v>22405.9365</v>
          </cell>
        </row>
        <row r="10">
          <cell r="A10" t="str">
            <v>0106432000005204</v>
          </cell>
          <cell r="B10">
            <v>6901</v>
          </cell>
          <cell r="C10">
            <v>0</v>
          </cell>
          <cell r="D10">
            <v>70534</v>
          </cell>
          <cell r="E10">
            <v>4382</v>
          </cell>
          <cell r="F10">
            <v>70569.267000000007</v>
          </cell>
          <cell r="G10">
            <v>4384.1909999999998</v>
          </cell>
        </row>
        <row r="11">
          <cell r="A11" t="str">
            <v>0121292000006470</v>
          </cell>
          <cell r="B11">
            <v>6400</v>
          </cell>
          <cell r="C11">
            <v>0</v>
          </cell>
          <cell r="D11">
            <v>981</v>
          </cell>
          <cell r="E11">
            <v>1</v>
          </cell>
          <cell r="F11">
            <v>981.4905</v>
          </cell>
          <cell r="G11">
            <v>1.0004999999999999</v>
          </cell>
        </row>
        <row r="12">
          <cell r="A12" t="str">
            <v>0100562000004469</v>
          </cell>
          <cell r="B12">
            <v>8862</v>
          </cell>
          <cell r="C12">
            <v>0</v>
          </cell>
          <cell r="D12">
            <v>11489</v>
          </cell>
          <cell r="E12">
            <v>73</v>
          </cell>
          <cell r="F12">
            <v>11494.744500000001</v>
          </cell>
          <cell r="G12">
            <v>73.036500000000004</v>
          </cell>
        </row>
        <row r="13">
          <cell r="A13" t="str">
            <v>0145102000012889</v>
          </cell>
          <cell r="B13">
            <v>7544</v>
          </cell>
          <cell r="C13">
            <v>0</v>
          </cell>
          <cell r="D13">
            <v>1</v>
          </cell>
          <cell r="E13">
            <v>0</v>
          </cell>
          <cell r="F13">
            <v>5</v>
          </cell>
          <cell r="G13">
            <v>0</v>
          </cell>
        </row>
        <row r="14">
          <cell r="A14" t="str">
            <v>30025600007320</v>
          </cell>
          <cell r="B14">
            <v>6368</v>
          </cell>
          <cell r="C14">
            <v>0</v>
          </cell>
          <cell r="D14">
            <v>120</v>
          </cell>
          <cell r="E14">
            <v>33</v>
          </cell>
          <cell r="F14">
            <v>13779.3</v>
          </cell>
          <cell r="G14">
            <v>3789.3074999999999</v>
          </cell>
        </row>
        <row r="15">
          <cell r="A15" t="str">
            <v>0126952000008428</v>
          </cell>
          <cell r="B15">
            <v>6860</v>
          </cell>
          <cell r="C15">
            <v>0</v>
          </cell>
          <cell r="D15">
            <v>85256</v>
          </cell>
          <cell r="E15">
            <v>351</v>
          </cell>
          <cell r="F15">
            <v>85312.634999999995</v>
          </cell>
          <cell r="G15">
            <v>351.1755</v>
          </cell>
        </row>
        <row r="16">
          <cell r="A16" t="str">
            <v>30025600007321</v>
          </cell>
          <cell r="B16">
            <v>6368</v>
          </cell>
          <cell r="C16">
            <v>0</v>
          </cell>
          <cell r="D16">
            <v>30</v>
          </cell>
          <cell r="E16">
            <v>1</v>
          </cell>
          <cell r="F16">
            <v>1500.06</v>
          </cell>
          <cell r="G16">
            <v>50.002000000000002</v>
          </cell>
        </row>
        <row r="17">
          <cell r="A17" t="str">
            <v>0096002000004237</v>
          </cell>
          <cell r="B17">
            <v>8185</v>
          </cell>
          <cell r="C17">
            <v>0</v>
          </cell>
          <cell r="D17">
            <v>35029</v>
          </cell>
          <cell r="E17">
            <v>36</v>
          </cell>
          <cell r="F17">
            <v>35046.514499999997</v>
          </cell>
          <cell r="G17">
            <v>36.018000000000001</v>
          </cell>
        </row>
        <row r="18">
          <cell r="A18" t="str">
            <v>0042682000002758</v>
          </cell>
          <cell r="B18">
            <v>8018</v>
          </cell>
          <cell r="C18">
            <v>0</v>
          </cell>
          <cell r="D18">
            <v>24</v>
          </cell>
          <cell r="E18">
            <v>4</v>
          </cell>
          <cell r="F18">
            <v>48.024000000000001</v>
          </cell>
          <cell r="G18">
            <v>8.0039999999999996</v>
          </cell>
        </row>
        <row r="19">
          <cell r="A19" t="str">
            <v>0151782000014061</v>
          </cell>
          <cell r="B19">
            <v>9877</v>
          </cell>
          <cell r="C19">
            <v>0</v>
          </cell>
          <cell r="D19">
            <v>4</v>
          </cell>
          <cell r="E19">
            <v>0</v>
          </cell>
          <cell r="F19">
            <v>12</v>
          </cell>
          <cell r="G19">
            <v>0</v>
          </cell>
        </row>
        <row r="20">
          <cell r="A20" t="str">
            <v>0150582000013966</v>
          </cell>
          <cell r="B20">
            <v>9616</v>
          </cell>
          <cell r="C20">
            <v>0</v>
          </cell>
          <cell r="D20">
            <v>105542</v>
          </cell>
          <cell r="E20">
            <v>131</v>
          </cell>
          <cell r="F20">
            <v>105611.7795</v>
          </cell>
          <cell r="G20">
            <v>132.066</v>
          </cell>
        </row>
        <row r="21">
          <cell r="A21" t="str">
            <v>0066042000003776</v>
          </cell>
          <cell r="B21">
            <v>8596</v>
          </cell>
          <cell r="C21">
            <v>0</v>
          </cell>
          <cell r="D21">
            <v>499617</v>
          </cell>
          <cell r="E21">
            <v>366</v>
          </cell>
          <cell r="F21">
            <v>499866.80849999998</v>
          </cell>
          <cell r="G21">
            <v>366.18299999999999</v>
          </cell>
        </row>
        <row r="22">
          <cell r="A22" t="str">
            <v>0154372000014342</v>
          </cell>
          <cell r="B22">
            <v>9827</v>
          </cell>
          <cell r="C22">
            <v>0</v>
          </cell>
          <cell r="D22">
            <v>33857</v>
          </cell>
          <cell r="E22">
            <v>839</v>
          </cell>
          <cell r="F22">
            <v>33878.930999999997</v>
          </cell>
          <cell r="G22">
            <v>839.41949999999997</v>
          </cell>
        </row>
        <row r="23">
          <cell r="A23" t="str">
            <v>0100352000004431</v>
          </cell>
          <cell r="B23">
            <v>6049</v>
          </cell>
          <cell r="C23">
            <v>0</v>
          </cell>
          <cell r="D23">
            <v>80172</v>
          </cell>
          <cell r="E23">
            <v>4068</v>
          </cell>
          <cell r="F23">
            <v>80212.085999999996</v>
          </cell>
          <cell r="G23">
            <v>4070.0340000000001</v>
          </cell>
        </row>
        <row r="24">
          <cell r="A24" t="str">
            <v>0100572000004465</v>
          </cell>
          <cell r="B24">
            <v>6489</v>
          </cell>
          <cell r="C24">
            <v>0</v>
          </cell>
          <cell r="D24">
            <v>18423</v>
          </cell>
          <cell r="E24">
            <v>359</v>
          </cell>
          <cell r="F24">
            <v>18432.211500000001</v>
          </cell>
          <cell r="G24">
            <v>359.17950000000002</v>
          </cell>
        </row>
        <row r="25">
          <cell r="A25" t="str">
            <v>30024000007291</v>
          </cell>
          <cell r="B25">
            <v>9541</v>
          </cell>
          <cell r="C25">
            <v>0</v>
          </cell>
          <cell r="D25">
            <v>20</v>
          </cell>
          <cell r="E25">
            <v>6</v>
          </cell>
          <cell r="F25">
            <v>40.020000000000003</v>
          </cell>
          <cell r="G25">
            <v>12.006</v>
          </cell>
        </row>
        <row r="26">
          <cell r="A26" t="str">
            <v>0100042000004311</v>
          </cell>
          <cell r="B26">
            <v>8571</v>
          </cell>
          <cell r="C26">
            <v>0</v>
          </cell>
          <cell r="D26">
            <v>199054</v>
          </cell>
          <cell r="E26">
            <v>103</v>
          </cell>
          <cell r="F26">
            <v>199153.527</v>
          </cell>
          <cell r="G26">
            <v>103.0515</v>
          </cell>
        </row>
        <row r="27">
          <cell r="A27" t="str">
            <v>0106052000005133</v>
          </cell>
          <cell r="B27">
            <v>6832</v>
          </cell>
          <cell r="C27">
            <v>2</v>
          </cell>
          <cell r="D27">
            <v>23</v>
          </cell>
          <cell r="E27">
            <v>1</v>
          </cell>
          <cell r="F27">
            <v>20.010000000000002</v>
          </cell>
          <cell r="G27">
            <v>0.87</v>
          </cell>
        </row>
        <row r="28">
          <cell r="A28" t="str">
            <v>0150142000013949</v>
          </cell>
          <cell r="B28">
            <v>9400</v>
          </cell>
          <cell r="C28">
            <v>0</v>
          </cell>
          <cell r="D28">
            <v>837405</v>
          </cell>
          <cell r="E28">
            <v>5151</v>
          </cell>
          <cell r="F28">
            <v>837963.16350000002</v>
          </cell>
          <cell r="G28">
            <v>5160.4485000000004</v>
          </cell>
        </row>
        <row r="29">
          <cell r="A29" t="str">
            <v>0134802000011405</v>
          </cell>
          <cell r="B29">
            <v>6841</v>
          </cell>
          <cell r="C29">
            <v>0</v>
          </cell>
          <cell r="D29">
            <v>6</v>
          </cell>
          <cell r="E29">
            <v>3</v>
          </cell>
          <cell r="F29">
            <v>12.006</v>
          </cell>
          <cell r="G29">
            <v>6.0030000000000001</v>
          </cell>
        </row>
        <row r="30">
          <cell r="A30" t="str">
            <v>0129262000009408</v>
          </cell>
          <cell r="B30">
            <v>6703</v>
          </cell>
          <cell r="C30">
            <v>0</v>
          </cell>
          <cell r="D30">
            <v>72644</v>
          </cell>
          <cell r="E30">
            <v>53</v>
          </cell>
          <cell r="F30">
            <v>72680.322</v>
          </cell>
          <cell r="G30">
            <v>53.026499999999999</v>
          </cell>
        </row>
        <row r="31">
          <cell r="A31" t="str">
            <v>0087062000004120</v>
          </cell>
          <cell r="B31">
            <v>8597</v>
          </cell>
          <cell r="C31">
            <v>0</v>
          </cell>
          <cell r="D31">
            <v>129824</v>
          </cell>
          <cell r="E31">
            <v>90</v>
          </cell>
          <cell r="F31">
            <v>129888.912</v>
          </cell>
          <cell r="G31">
            <v>90.045000000000002</v>
          </cell>
        </row>
        <row r="32">
          <cell r="A32" t="str">
            <v>0128192000008804</v>
          </cell>
          <cell r="B32">
            <v>6375</v>
          </cell>
          <cell r="C32">
            <v>0</v>
          </cell>
          <cell r="D32">
            <v>1712</v>
          </cell>
          <cell r="E32">
            <v>1</v>
          </cell>
          <cell r="F32">
            <v>1712.856</v>
          </cell>
          <cell r="G32">
            <v>1.0004999999999999</v>
          </cell>
        </row>
        <row r="33">
          <cell r="A33" t="str">
            <v>0104042000005429</v>
          </cell>
          <cell r="B33">
            <v>6614</v>
          </cell>
          <cell r="C33">
            <v>0</v>
          </cell>
          <cell r="D33">
            <v>684</v>
          </cell>
          <cell r="E33">
            <v>2</v>
          </cell>
          <cell r="F33">
            <v>684.34199999999998</v>
          </cell>
          <cell r="G33">
            <v>2.0009999999999999</v>
          </cell>
        </row>
        <row r="34">
          <cell r="A34" t="str">
            <v>0092002000004174</v>
          </cell>
          <cell r="B34">
            <v>8320</v>
          </cell>
          <cell r="C34">
            <v>0</v>
          </cell>
          <cell r="D34">
            <v>124390</v>
          </cell>
          <cell r="E34">
            <v>8052</v>
          </cell>
          <cell r="F34">
            <v>124452.19500000001</v>
          </cell>
          <cell r="G34">
            <v>8056.0259999999998</v>
          </cell>
        </row>
        <row r="35">
          <cell r="A35" t="str">
            <v>0155482000014445</v>
          </cell>
          <cell r="B35">
            <v>9938</v>
          </cell>
          <cell r="C35">
            <v>0</v>
          </cell>
          <cell r="D35">
            <v>55807</v>
          </cell>
          <cell r="E35">
            <v>470</v>
          </cell>
          <cell r="F35">
            <v>55842.907500000001</v>
          </cell>
          <cell r="G35">
            <v>470.23500000000001</v>
          </cell>
        </row>
        <row r="36">
          <cell r="A36" t="str">
            <v>0104642000005053</v>
          </cell>
          <cell r="B36">
            <v>6329</v>
          </cell>
          <cell r="C36">
            <v>0</v>
          </cell>
          <cell r="D36">
            <v>23683</v>
          </cell>
          <cell r="E36">
            <v>72</v>
          </cell>
          <cell r="F36">
            <v>23694.841499999999</v>
          </cell>
          <cell r="G36">
            <v>72.036000000000001</v>
          </cell>
        </row>
        <row r="37">
          <cell r="A37" t="str">
            <v>0057152000003854</v>
          </cell>
          <cell r="B37">
            <v>8161</v>
          </cell>
          <cell r="C37">
            <v>2</v>
          </cell>
          <cell r="D37">
            <v>182</v>
          </cell>
          <cell r="E37">
            <v>1</v>
          </cell>
          <cell r="F37">
            <v>158.34</v>
          </cell>
          <cell r="G37">
            <v>0.87</v>
          </cell>
        </row>
        <row r="38">
          <cell r="A38" t="str">
            <v>0100322000004412</v>
          </cell>
          <cell r="B38">
            <v>8799</v>
          </cell>
          <cell r="C38">
            <v>0</v>
          </cell>
          <cell r="D38">
            <v>453088</v>
          </cell>
          <cell r="E38">
            <v>21331</v>
          </cell>
          <cell r="F38">
            <v>453314.54399999999</v>
          </cell>
          <cell r="G38">
            <v>21341.665499999999</v>
          </cell>
        </row>
        <row r="39">
          <cell r="A39" t="str">
            <v>30024200007300</v>
          </cell>
          <cell r="B39">
            <v>8104</v>
          </cell>
          <cell r="C39">
            <v>0</v>
          </cell>
          <cell r="D39">
            <v>165</v>
          </cell>
          <cell r="E39">
            <v>30</v>
          </cell>
          <cell r="F39">
            <v>330.16500000000002</v>
          </cell>
          <cell r="G39">
            <v>60.03</v>
          </cell>
        </row>
        <row r="40">
          <cell r="A40" t="str">
            <v>0134232000011026</v>
          </cell>
          <cell r="B40">
            <v>7564</v>
          </cell>
          <cell r="C40">
            <v>0</v>
          </cell>
          <cell r="D40">
            <v>1519284</v>
          </cell>
          <cell r="E40">
            <v>38921</v>
          </cell>
          <cell r="F40">
            <v>1520043.642</v>
          </cell>
          <cell r="G40">
            <v>38940.460500000001</v>
          </cell>
        </row>
        <row r="41">
          <cell r="A41" t="str">
            <v>0150142000013949</v>
          </cell>
          <cell r="B41">
            <v>9400</v>
          </cell>
          <cell r="C41">
            <v>2</v>
          </cell>
          <cell r="D41">
            <v>25</v>
          </cell>
          <cell r="E41">
            <v>0</v>
          </cell>
          <cell r="F41">
            <v>21.75</v>
          </cell>
          <cell r="G41">
            <v>0</v>
          </cell>
        </row>
        <row r="42">
          <cell r="A42" t="str">
            <v>0046022000003040</v>
          </cell>
          <cell r="B42">
            <v>8306</v>
          </cell>
          <cell r="C42">
            <v>0</v>
          </cell>
          <cell r="D42">
            <v>157411</v>
          </cell>
          <cell r="E42">
            <v>9922</v>
          </cell>
          <cell r="F42">
            <v>157489.70550000001</v>
          </cell>
          <cell r="G42">
            <v>9926.9609999999993</v>
          </cell>
        </row>
        <row r="43">
          <cell r="A43" t="str">
            <v>0148232000013428</v>
          </cell>
          <cell r="B43">
            <v>9932</v>
          </cell>
          <cell r="C43">
            <v>0</v>
          </cell>
          <cell r="D43">
            <v>96956</v>
          </cell>
          <cell r="E43">
            <v>6959</v>
          </cell>
          <cell r="F43">
            <v>97004.478000000003</v>
          </cell>
          <cell r="G43">
            <v>6962.4795000000004</v>
          </cell>
        </row>
        <row r="44">
          <cell r="A44" t="str">
            <v>0101122000004631</v>
          </cell>
          <cell r="B44">
            <v>6569</v>
          </cell>
          <cell r="C44">
            <v>0</v>
          </cell>
          <cell r="D44">
            <v>182736</v>
          </cell>
          <cell r="E44">
            <v>12660</v>
          </cell>
          <cell r="F44">
            <v>182827.36799999999</v>
          </cell>
          <cell r="G44">
            <v>12666.33</v>
          </cell>
        </row>
        <row r="45">
          <cell r="A45" t="str">
            <v>0104642000005055</v>
          </cell>
          <cell r="B45">
            <v>6341</v>
          </cell>
          <cell r="C45">
            <v>0</v>
          </cell>
          <cell r="D45">
            <v>38436</v>
          </cell>
          <cell r="E45">
            <v>60</v>
          </cell>
          <cell r="F45">
            <v>38455.218000000001</v>
          </cell>
          <cell r="G45">
            <v>60.03</v>
          </cell>
        </row>
        <row r="46">
          <cell r="A46" t="str">
            <v>0145362000012947</v>
          </cell>
          <cell r="B46">
            <v>9282</v>
          </cell>
          <cell r="C46">
            <v>0</v>
          </cell>
          <cell r="D46">
            <v>168</v>
          </cell>
          <cell r="E46">
            <v>54</v>
          </cell>
          <cell r="F46">
            <v>336.16800000000001</v>
          </cell>
          <cell r="G46">
            <v>108.054</v>
          </cell>
        </row>
        <row r="47">
          <cell r="A47" t="str">
            <v>30018200007227</v>
          </cell>
          <cell r="B47">
            <v>6001</v>
          </cell>
          <cell r="C47">
            <v>0</v>
          </cell>
          <cell r="D47">
            <v>11599</v>
          </cell>
          <cell r="E47">
            <v>242</v>
          </cell>
          <cell r="F47">
            <v>11609.802</v>
          </cell>
          <cell r="G47">
            <v>242.12100000000001</v>
          </cell>
        </row>
        <row r="48">
          <cell r="A48" t="str">
            <v>0145522000012977</v>
          </cell>
          <cell r="B48">
            <v>7500</v>
          </cell>
          <cell r="C48">
            <v>0</v>
          </cell>
          <cell r="D48">
            <v>32749</v>
          </cell>
          <cell r="E48">
            <v>951</v>
          </cell>
          <cell r="F48">
            <v>32767.375499999998</v>
          </cell>
          <cell r="G48">
            <v>951.47550000000001</v>
          </cell>
        </row>
        <row r="49">
          <cell r="A49" t="str">
            <v>0152442000014123</v>
          </cell>
          <cell r="B49">
            <v>6710</v>
          </cell>
          <cell r="C49">
            <v>2</v>
          </cell>
          <cell r="D49">
            <v>25</v>
          </cell>
          <cell r="E49">
            <v>1</v>
          </cell>
          <cell r="F49">
            <v>21.75</v>
          </cell>
          <cell r="G49">
            <v>0.87</v>
          </cell>
        </row>
        <row r="50">
          <cell r="A50" t="str">
            <v>0153342000014178</v>
          </cell>
          <cell r="B50">
            <v>9665</v>
          </cell>
          <cell r="C50">
            <v>0</v>
          </cell>
          <cell r="D50">
            <v>45</v>
          </cell>
          <cell r="E50">
            <v>8</v>
          </cell>
          <cell r="F50">
            <v>135</v>
          </cell>
          <cell r="G50">
            <v>24</v>
          </cell>
        </row>
        <row r="51">
          <cell r="A51" t="str">
            <v>0104952000005109</v>
          </cell>
          <cell r="B51">
            <v>6764</v>
          </cell>
          <cell r="C51">
            <v>2</v>
          </cell>
          <cell r="D51">
            <v>95</v>
          </cell>
          <cell r="E51">
            <v>1</v>
          </cell>
          <cell r="F51">
            <v>82.65</v>
          </cell>
          <cell r="G51">
            <v>0.87</v>
          </cell>
        </row>
        <row r="52">
          <cell r="A52" t="str">
            <v>30020000007234</v>
          </cell>
          <cell r="B52">
            <v>8925</v>
          </cell>
          <cell r="C52">
            <v>0</v>
          </cell>
          <cell r="D52">
            <v>42960</v>
          </cell>
          <cell r="E52">
            <v>921</v>
          </cell>
          <cell r="F52">
            <v>42983.481</v>
          </cell>
          <cell r="G52">
            <v>921.46050000000002</v>
          </cell>
        </row>
        <row r="53">
          <cell r="A53" t="str">
            <v>0042642000004054</v>
          </cell>
          <cell r="B53">
            <v>8539</v>
          </cell>
          <cell r="C53">
            <v>0</v>
          </cell>
          <cell r="D53">
            <v>20</v>
          </cell>
          <cell r="E53">
            <v>6</v>
          </cell>
          <cell r="F53">
            <v>40.020000000000003</v>
          </cell>
          <cell r="G53">
            <v>12.006</v>
          </cell>
        </row>
        <row r="54">
          <cell r="A54" t="str">
            <v>0136722000012336</v>
          </cell>
          <cell r="B54">
            <v>7930</v>
          </cell>
          <cell r="C54">
            <v>0</v>
          </cell>
          <cell r="D54">
            <v>14442</v>
          </cell>
          <cell r="E54">
            <v>14</v>
          </cell>
          <cell r="F54">
            <v>14449.221</v>
          </cell>
          <cell r="G54">
            <v>14.007</v>
          </cell>
        </row>
        <row r="55">
          <cell r="A55" t="str">
            <v>0150022000013937</v>
          </cell>
          <cell r="B55">
            <v>9565</v>
          </cell>
          <cell r="C55">
            <v>0</v>
          </cell>
          <cell r="D55">
            <v>184424</v>
          </cell>
          <cell r="E55">
            <v>4682</v>
          </cell>
          <cell r="F55">
            <v>184546.22700000001</v>
          </cell>
          <cell r="G55">
            <v>4685.3415000000005</v>
          </cell>
        </row>
        <row r="56">
          <cell r="A56" t="str">
            <v>0144642000012746</v>
          </cell>
          <cell r="B56">
            <v>6655</v>
          </cell>
          <cell r="C56">
            <v>0</v>
          </cell>
          <cell r="D56">
            <v>18625</v>
          </cell>
          <cell r="E56">
            <v>1176</v>
          </cell>
          <cell r="F56">
            <v>18634.3125</v>
          </cell>
          <cell r="G56">
            <v>1176.588</v>
          </cell>
        </row>
        <row r="57">
          <cell r="A57" t="str">
            <v>0046022000002999</v>
          </cell>
          <cell r="B57">
            <v>8863</v>
          </cell>
          <cell r="C57">
            <v>0</v>
          </cell>
          <cell r="D57">
            <v>71867</v>
          </cell>
          <cell r="E57">
            <v>4337</v>
          </cell>
          <cell r="F57">
            <v>71902.933499999999</v>
          </cell>
          <cell r="G57">
            <v>4339.1684999999998</v>
          </cell>
        </row>
        <row r="58">
          <cell r="A58" t="str">
            <v>30025600007324</v>
          </cell>
          <cell r="B58">
            <v>6368</v>
          </cell>
          <cell r="C58">
            <v>0</v>
          </cell>
          <cell r="D58">
            <v>28</v>
          </cell>
          <cell r="E58">
            <v>4</v>
          </cell>
          <cell r="F58">
            <v>321.678</v>
          </cell>
          <cell r="G58">
            <v>45.954000000000001</v>
          </cell>
        </row>
        <row r="59">
          <cell r="A59" t="str">
            <v>0136332000012267</v>
          </cell>
          <cell r="B59">
            <v>7831</v>
          </cell>
          <cell r="C59">
            <v>0</v>
          </cell>
          <cell r="D59">
            <v>45764</v>
          </cell>
          <cell r="E59">
            <v>1239</v>
          </cell>
          <cell r="F59">
            <v>45794.885999999999</v>
          </cell>
          <cell r="G59">
            <v>1239.6195</v>
          </cell>
        </row>
        <row r="60">
          <cell r="A60" t="str">
            <v>0135202000011668</v>
          </cell>
          <cell r="B60">
            <v>8649</v>
          </cell>
          <cell r="C60">
            <v>0</v>
          </cell>
          <cell r="D60">
            <v>14</v>
          </cell>
          <cell r="E60">
            <v>4</v>
          </cell>
          <cell r="F60">
            <v>28.013999999999999</v>
          </cell>
          <cell r="G60">
            <v>8.0039999999999996</v>
          </cell>
        </row>
        <row r="61">
          <cell r="A61" t="str">
            <v>0132622000012969</v>
          </cell>
          <cell r="B61">
            <v>7335</v>
          </cell>
          <cell r="C61">
            <v>0</v>
          </cell>
          <cell r="D61">
            <v>122520</v>
          </cell>
          <cell r="E61">
            <v>171</v>
          </cell>
          <cell r="F61">
            <v>122599.269</v>
          </cell>
          <cell r="G61">
            <v>171.0855</v>
          </cell>
        </row>
        <row r="62">
          <cell r="A62" t="str">
            <v>0128432000009047</v>
          </cell>
          <cell r="B62">
            <v>6833</v>
          </cell>
          <cell r="C62">
            <v>0</v>
          </cell>
          <cell r="D62">
            <v>83374</v>
          </cell>
          <cell r="E62">
            <v>696</v>
          </cell>
          <cell r="F62">
            <v>83419.558499999999</v>
          </cell>
          <cell r="G62">
            <v>696.34799999999996</v>
          </cell>
        </row>
        <row r="63">
          <cell r="A63" t="str">
            <v>0136272000012246</v>
          </cell>
          <cell r="B63">
            <v>7566</v>
          </cell>
          <cell r="C63">
            <v>0</v>
          </cell>
          <cell r="D63">
            <v>5715</v>
          </cell>
          <cell r="E63">
            <v>405</v>
          </cell>
          <cell r="F63">
            <v>5717.8575000000001</v>
          </cell>
          <cell r="G63">
            <v>405.20249999999999</v>
          </cell>
        </row>
        <row r="64">
          <cell r="A64" t="str">
            <v>0135452000011893</v>
          </cell>
          <cell r="B64">
            <v>7969</v>
          </cell>
          <cell r="C64">
            <v>0</v>
          </cell>
          <cell r="D64">
            <v>3</v>
          </cell>
          <cell r="E64">
            <v>0</v>
          </cell>
          <cell r="F64">
            <v>30</v>
          </cell>
          <cell r="G64">
            <v>0</v>
          </cell>
        </row>
        <row r="65">
          <cell r="A65" t="str">
            <v>0157862000014885</v>
          </cell>
          <cell r="B65">
            <v>6042</v>
          </cell>
          <cell r="C65">
            <v>0</v>
          </cell>
          <cell r="D65">
            <v>1596</v>
          </cell>
          <cell r="E65">
            <v>39</v>
          </cell>
          <cell r="F65">
            <v>1596.798</v>
          </cell>
          <cell r="G65">
            <v>39.019500000000001</v>
          </cell>
        </row>
        <row r="66">
          <cell r="A66" t="str">
            <v>30023400007284</v>
          </cell>
          <cell r="B66">
            <v>8717</v>
          </cell>
          <cell r="C66">
            <v>0</v>
          </cell>
          <cell r="D66">
            <v>155</v>
          </cell>
          <cell r="E66">
            <v>121</v>
          </cell>
          <cell r="F66">
            <v>310.15499999999997</v>
          </cell>
          <cell r="G66">
            <v>242.12100000000001</v>
          </cell>
        </row>
        <row r="67">
          <cell r="A67" t="str">
            <v>30025600007322</v>
          </cell>
          <cell r="B67">
            <v>6368</v>
          </cell>
          <cell r="C67">
            <v>0</v>
          </cell>
          <cell r="D67">
            <v>25</v>
          </cell>
          <cell r="E67">
            <v>0</v>
          </cell>
          <cell r="F67">
            <v>625.02499999999998</v>
          </cell>
          <cell r="G67">
            <v>0</v>
          </cell>
        </row>
        <row r="68">
          <cell r="A68" t="str">
            <v>0104062000005062</v>
          </cell>
          <cell r="B68">
            <v>6817</v>
          </cell>
          <cell r="C68">
            <v>0</v>
          </cell>
          <cell r="D68">
            <v>75587</v>
          </cell>
          <cell r="E68">
            <v>4861</v>
          </cell>
          <cell r="F68">
            <v>75624.7935</v>
          </cell>
          <cell r="G68">
            <v>4863.4305000000004</v>
          </cell>
        </row>
        <row r="69">
          <cell r="A69" t="str">
            <v>0152052000014090</v>
          </cell>
          <cell r="B69">
            <v>9757</v>
          </cell>
          <cell r="C69">
            <v>0</v>
          </cell>
          <cell r="D69">
            <v>26271</v>
          </cell>
          <cell r="E69">
            <v>464</v>
          </cell>
          <cell r="F69">
            <v>26287.136999999999</v>
          </cell>
          <cell r="G69">
            <v>464.23200000000003</v>
          </cell>
        </row>
        <row r="70">
          <cell r="A70" t="str">
            <v>0152442000014123</v>
          </cell>
          <cell r="B70">
            <v>6710</v>
          </cell>
          <cell r="C70">
            <v>0</v>
          </cell>
          <cell r="D70">
            <v>740421</v>
          </cell>
          <cell r="E70">
            <v>19913</v>
          </cell>
          <cell r="F70">
            <v>740916.22950000002</v>
          </cell>
          <cell r="G70">
            <v>19923.956999999999</v>
          </cell>
        </row>
        <row r="71">
          <cell r="A71" t="str">
            <v>0128172000008808</v>
          </cell>
          <cell r="B71">
            <v>6661</v>
          </cell>
          <cell r="C71">
            <v>0</v>
          </cell>
          <cell r="D71">
            <v>6203</v>
          </cell>
          <cell r="E71">
            <v>5</v>
          </cell>
          <cell r="F71">
            <v>6206.1014999999998</v>
          </cell>
          <cell r="G71">
            <v>5.0025000000000004</v>
          </cell>
        </row>
        <row r="72">
          <cell r="A72" t="str">
            <v>30021800007266</v>
          </cell>
          <cell r="B72">
            <v>8120</v>
          </cell>
          <cell r="C72">
            <v>0</v>
          </cell>
          <cell r="D72">
            <v>1</v>
          </cell>
          <cell r="E72">
            <v>0</v>
          </cell>
          <cell r="F72">
            <v>5</v>
          </cell>
          <cell r="G72">
            <v>0</v>
          </cell>
        </row>
        <row r="73">
          <cell r="A73" t="str">
            <v>0130092000009594</v>
          </cell>
          <cell r="B73">
            <v>7724</v>
          </cell>
          <cell r="C73">
            <v>0</v>
          </cell>
          <cell r="D73">
            <v>493</v>
          </cell>
          <cell r="E73">
            <v>1</v>
          </cell>
          <cell r="F73">
            <v>493.24650000000003</v>
          </cell>
          <cell r="G73">
            <v>1.0004999999999999</v>
          </cell>
        </row>
        <row r="74">
          <cell r="A74" t="str">
            <v>0121152000006408</v>
          </cell>
          <cell r="B74">
            <v>8466</v>
          </cell>
          <cell r="C74">
            <v>0</v>
          </cell>
          <cell r="D74">
            <v>13</v>
          </cell>
          <cell r="E74">
            <v>3</v>
          </cell>
          <cell r="F74">
            <v>39</v>
          </cell>
          <cell r="G74">
            <v>9</v>
          </cell>
        </row>
        <row r="75">
          <cell r="A75" t="str">
            <v>0059112000003522</v>
          </cell>
          <cell r="B75">
            <v>8496</v>
          </cell>
          <cell r="C75">
            <v>0</v>
          </cell>
          <cell r="D75">
            <v>462607</v>
          </cell>
          <cell r="E75">
            <v>338</v>
          </cell>
          <cell r="F75">
            <v>462838.30349999998</v>
          </cell>
          <cell r="G75">
            <v>338.16899999999998</v>
          </cell>
        </row>
        <row r="76">
          <cell r="A76" t="str">
            <v>30013400007188</v>
          </cell>
          <cell r="B76">
            <v>6265</v>
          </cell>
          <cell r="C76">
            <v>0</v>
          </cell>
          <cell r="D76">
            <v>4019</v>
          </cell>
          <cell r="E76">
            <v>2</v>
          </cell>
          <cell r="F76">
            <v>4021.0095000000001</v>
          </cell>
          <cell r="G76">
            <v>2.0009999999999999</v>
          </cell>
        </row>
        <row r="77">
          <cell r="A77" t="str">
            <v>30020300007237</v>
          </cell>
          <cell r="B77">
            <v>8208</v>
          </cell>
          <cell r="C77">
            <v>0</v>
          </cell>
          <cell r="D77">
            <v>12494</v>
          </cell>
          <cell r="E77">
            <v>292</v>
          </cell>
          <cell r="F77">
            <v>12501.247499999999</v>
          </cell>
          <cell r="G77">
            <v>292.14600000000002</v>
          </cell>
        </row>
        <row r="78">
          <cell r="A78" t="str">
            <v>0100632000004478</v>
          </cell>
          <cell r="B78">
            <v>6615</v>
          </cell>
          <cell r="C78">
            <v>0</v>
          </cell>
          <cell r="D78">
            <v>106958</v>
          </cell>
          <cell r="E78">
            <v>7023</v>
          </cell>
          <cell r="F78">
            <v>107011.47900000001</v>
          </cell>
          <cell r="G78">
            <v>7026.5114999999996</v>
          </cell>
        </row>
        <row r="79">
          <cell r="A79" t="str">
            <v>0128182000008810</v>
          </cell>
          <cell r="B79">
            <v>6866</v>
          </cell>
          <cell r="C79">
            <v>0</v>
          </cell>
          <cell r="D79">
            <v>160</v>
          </cell>
          <cell r="E79">
            <v>0</v>
          </cell>
          <cell r="F79">
            <v>160.08000000000001</v>
          </cell>
          <cell r="G79">
            <v>0</v>
          </cell>
        </row>
        <row r="80">
          <cell r="A80" t="str">
            <v>0132152000010007</v>
          </cell>
          <cell r="B80">
            <v>7379</v>
          </cell>
          <cell r="C80">
            <v>0</v>
          </cell>
          <cell r="D80">
            <v>142473</v>
          </cell>
          <cell r="E80">
            <v>5942</v>
          </cell>
          <cell r="F80">
            <v>142544.2365</v>
          </cell>
          <cell r="G80">
            <v>5944.9709999999995</v>
          </cell>
        </row>
        <row r="81">
          <cell r="A81" t="str">
            <v>30021800007270</v>
          </cell>
          <cell r="B81">
            <v>8120</v>
          </cell>
          <cell r="C81">
            <v>0</v>
          </cell>
          <cell r="D81">
            <v>23</v>
          </cell>
          <cell r="E81">
            <v>2</v>
          </cell>
          <cell r="F81">
            <v>459.96550000000002</v>
          </cell>
          <cell r="G81">
            <v>39.997</v>
          </cell>
        </row>
        <row r="82">
          <cell r="A82" t="str">
            <v>0059352000003569</v>
          </cell>
          <cell r="B82">
            <v>8970</v>
          </cell>
          <cell r="C82">
            <v>0</v>
          </cell>
          <cell r="D82">
            <v>2</v>
          </cell>
          <cell r="E82">
            <v>0</v>
          </cell>
          <cell r="F82">
            <v>20</v>
          </cell>
          <cell r="G82">
            <v>0</v>
          </cell>
        </row>
        <row r="83">
          <cell r="A83" t="str">
            <v>0134822000011428</v>
          </cell>
          <cell r="B83">
            <v>7514</v>
          </cell>
          <cell r="C83">
            <v>0</v>
          </cell>
          <cell r="D83">
            <v>15554</v>
          </cell>
          <cell r="E83">
            <v>473</v>
          </cell>
          <cell r="F83">
            <v>15561.777</v>
          </cell>
          <cell r="G83">
            <v>473.23649999999998</v>
          </cell>
        </row>
        <row r="84">
          <cell r="A84" t="str">
            <v>0130152000009606</v>
          </cell>
          <cell r="B84">
            <v>7122</v>
          </cell>
          <cell r="C84">
            <v>0</v>
          </cell>
          <cell r="D84">
            <v>279725</v>
          </cell>
          <cell r="E84">
            <v>16133</v>
          </cell>
          <cell r="F84">
            <v>279864.86249999999</v>
          </cell>
          <cell r="G84">
            <v>16141.066500000001</v>
          </cell>
        </row>
        <row r="85">
          <cell r="A85" t="str">
            <v>0100052000004314</v>
          </cell>
          <cell r="B85">
            <v>8930</v>
          </cell>
          <cell r="C85">
            <v>0</v>
          </cell>
          <cell r="D85">
            <v>52431</v>
          </cell>
          <cell r="E85">
            <v>36</v>
          </cell>
          <cell r="F85">
            <v>52457.215499999998</v>
          </cell>
          <cell r="G85">
            <v>36.018000000000001</v>
          </cell>
        </row>
        <row r="86">
          <cell r="A86" t="str">
            <v>0136752000012342</v>
          </cell>
          <cell r="B86">
            <v>8420</v>
          </cell>
          <cell r="C86">
            <v>0</v>
          </cell>
          <cell r="D86">
            <v>48</v>
          </cell>
          <cell r="E86">
            <v>2</v>
          </cell>
          <cell r="F86">
            <v>96.048000000000002</v>
          </cell>
          <cell r="G86">
            <v>4.0019999999999998</v>
          </cell>
        </row>
        <row r="87">
          <cell r="A87" t="str">
            <v>0134432000011165</v>
          </cell>
          <cell r="B87">
            <v>7168</v>
          </cell>
          <cell r="C87">
            <v>0</v>
          </cell>
          <cell r="D87">
            <v>13340</v>
          </cell>
          <cell r="E87">
            <v>8</v>
          </cell>
          <cell r="F87">
            <v>13346.67</v>
          </cell>
          <cell r="G87">
            <v>8.0039999999999996</v>
          </cell>
        </row>
        <row r="88">
          <cell r="A88" t="str">
            <v>0042622000002745</v>
          </cell>
          <cell r="B88">
            <v>8338</v>
          </cell>
          <cell r="C88">
            <v>0</v>
          </cell>
          <cell r="D88">
            <v>760</v>
          </cell>
          <cell r="E88">
            <v>76</v>
          </cell>
          <cell r="F88">
            <v>760.38</v>
          </cell>
          <cell r="G88">
            <v>76.037999999999997</v>
          </cell>
        </row>
        <row r="89">
          <cell r="A89" t="str">
            <v>0101022000004568</v>
          </cell>
          <cell r="B89">
            <v>6616</v>
          </cell>
          <cell r="C89">
            <v>0</v>
          </cell>
          <cell r="D89">
            <v>699</v>
          </cell>
          <cell r="E89">
            <v>238</v>
          </cell>
          <cell r="F89">
            <v>1398.6990000000001</v>
          </cell>
          <cell r="G89">
            <v>476.238</v>
          </cell>
        </row>
        <row r="90">
          <cell r="A90" t="str">
            <v>0128432000009047</v>
          </cell>
          <cell r="B90">
            <v>6833</v>
          </cell>
          <cell r="C90">
            <v>2</v>
          </cell>
          <cell r="D90">
            <v>24</v>
          </cell>
          <cell r="E90">
            <v>1</v>
          </cell>
          <cell r="F90">
            <v>24.012</v>
          </cell>
          <cell r="G90">
            <v>1.0004999999999999</v>
          </cell>
        </row>
        <row r="91">
          <cell r="A91" t="str">
            <v>0152542000014130</v>
          </cell>
          <cell r="B91">
            <v>9600</v>
          </cell>
          <cell r="C91">
            <v>0</v>
          </cell>
          <cell r="D91">
            <v>217322</v>
          </cell>
          <cell r="E91">
            <v>919</v>
          </cell>
          <cell r="F91">
            <v>217465.67850000001</v>
          </cell>
          <cell r="G91">
            <v>921.46050000000002</v>
          </cell>
        </row>
        <row r="92">
          <cell r="A92" t="str">
            <v>0106052000005133</v>
          </cell>
          <cell r="B92">
            <v>6832</v>
          </cell>
          <cell r="C92">
            <v>0</v>
          </cell>
          <cell r="D92">
            <v>224832</v>
          </cell>
          <cell r="E92">
            <v>4938</v>
          </cell>
          <cell r="F92">
            <v>224972.43</v>
          </cell>
          <cell r="G92">
            <v>4943.4705000000004</v>
          </cell>
        </row>
        <row r="93">
          <cell r="A93" t="str">
            <v>0130082000009596</v>
          </cell>
          <cell r="B93">
            <v>7717</v>
          </cell>
          <cell r="C93">
            <v>0</v>
          </cell>
          <cell r="D93">
            <v>24633</v>
          </cell>
          <cell r="E93">
            <v>3015</v>
          </cell>
          <cell r="F93">
            <v>24645.316500000001</v>
          </cell>
          <cell r="G93">
            <v>3016.5075000000002</v>
          </cell>
        </row>
        <row r="94">
          <cell r="A94" t="str">
            <v>0100042000004311</v>
          </cell>
          <cell r="B94">
            <v>8571</v>
          </cell>
          <cell r="C94">
            <v>1</v>
          </cell>
          <cell r="D94">
            <v>901</v>
          </cell>
          <cell r="E94">
            <v>2</v>
          </cell>
          <cell r="F94">
            <v>901.45049999999992</v>
          </cell>
          <cell r="G94">
            <v>2.0009999999999999</v>
          </cell>
        </row>
        <row r="95">
          <cell r="A95" t="str">
            <v>0100632000004478</v>
          </cell>
          <cell r="B95">
            <v>6615</v>
          </cell>
          <cell r="C95">
            <v>1</v>
          </cell>
          <cell r="D95">
            <v>312</v>
          </cell>
          <cell r="E95">
            <v>25</v>
          </cell>
          <cell r="F95">
            <v>312.15599999999995</v>
          </cell>
          <cell r="G95">
            <v>25.012499999999999</v>
          </cell>
        </row>
        <row r="96">
          <cell r="A96" t="str">
            <v>0104042000005429</v>
          </cell>
          <cell r="B96">
            <v>6614</v>
          </cell>
          <cell r="C96">
            <v>1</v>
          </cell>
          <cell r="D96">
            <v>78</v>
          </cell>
          <cell r="E96">
            <v>0</v>
          </cell>
          <cell r="F96">
            <v>78.038999999999987</v>
          </cell>
          <cell r="G96">
            <v>0</v>
          </cell>
        </row>
        <row r="97">
          <cell r="A97" t="str">
            <v>0046022000003040</v>
          </cell>
          <cell r="B97">
            <v>8306</v>
          </cell>
          <cell r="C97">
            <v>1</v>
          </cell>
          <cell r="D97">
            <v>1653</v>
          </cell>
          <cell r="E97">
            <v>119</v>
          </cell>
          <cell r="F97">
            <v>1653.8264999999997</v>
          </cell>
          <cell r="G97">
            <v>119.05949999999999</v>
          </cell>
        </row>
        <row r="98">
          <cell r="A98" t="str">
            <v>0106052000005133</v>
          </cell>
          <cell r="B98">
            <v>6832</v>
          </cell>
          <cell r="C98">
            <v>1</v>
          </cell>
          <cell r="D98">
            <v>29651</v>
          </cell>
          <cell r="E98">
            <v>978</v>
          </cell>
          <cell r="F98">
            <v>29665.825499999995</v>
          </cell>
          <cell r="G98">
            <v>978.48899999999992</v>
          </cell>
        </row>
        <row r="99">
          <cell r="A99" t="str">
            <v>30020300007237</v>
          </cell>
          <cell r="B99">
            <v>8208</v>
          </cell>
          <cell r="C99">
            <v>1</v>
          </cell>
          <cell r="D99">
            <v>673</v>
          </cell>
          <cell r="E99">
            <v>27</v>
          </cell>
          <cell r="F99">
            <v>673.33649999999989</v>
          </cell>
          <cell r="G99">
            <v>27.013499999999997</v>
          </cell>
        </row>
        <row r="100">
          <cell r="A100" t="str">
            <v>0145522000012977</v>
          </cell>
          <cell r="B100">
            <v>7500</v>
          </cell>
          <cell r="C100">
            <v>1</v>
          </cell>
          <cell r="D100">
            <v>5498</v>
          </cell>
          <cell r="E100">
            <v>232</v>
          </cell>
          <cell r="F100">
            <v>5500.7489999999998</v>
          </cell>
          <cell r="G100">
            <v>232.11599999999999</v>
          </cell>
        </row>
        <row r="101">
          <cell r="A101" t="str">
            <v>0132622000012969</v>
          </cell>
          <cell r="B101">
            <v>7335</v>
          </cell>
          <cell r="C101">
            <v>1</v>
          </cell>
          <cell r="D101">
            <v>16958</v>
          </cell>
          <cell r="E101">
            <v>19</v>
          </cell>
          <cell r="F101">
            <v>16966.478999999999</v>
          </cell>
          <cell r="G101">
            <v>19.009499999999999</v>
          </cell>
        </row>
        <row r="102">
          <cell r="A102" t="str">
            <v>0101122000004631</v>
          </cell>
          <cell r="B102">
            <v>6569</v>
          </cell>
          <cell r="C102">
            <v>1</v>
          </cell>
          <cell r="D102">
            <v>5026</v>
          </cell>
          <cell r="E102">
            <v>437</v>
          </cell>
          <cell r="F102">
            <v>5028.5129999999999</v>
          </cell>
          <cell r="G102">
            <v>437.21849999999995</v>
          </cell>
        </row>
        <row r="103">
          <cell r="A103" t="str">
            <v>300209200007241</v>
          </cell>
          <cell r="B103">
            <v>6650</v>
          </cell>
          <cell r="C103">
            <v>1</v>
          </cell>
          <cell r="D103">
            <v>237</v>
          </cell>
          <cell r="E103">
            <v>10</v>
          </cell>
          <cell r="F103">
            <v>237.11849999999998</v>
          </cell>
          <cell r="G103">
            <v>10.004999999999999</v>
          </cell>
        </row>
        <row r="104">
          <cell r="A104" t="str">
            <v>30025600007322</v>
          </cell>
          <cell r="B104">
            <v>6368</v>
          </cell>
          <cell r="C104">
            <v>1</v>
          </cell>
          <cell r="D104">
            <v>1</v>
          </cell>
          <cell r="E104">
            <v>0</v>
          </cell>
          <cell r="F104">
            <v>25.000999999999998</v>
          </cell>
          <cell r="G104">
            <v>0</v>
          </cell>
        </row>
        <row r="105">
          <cell r="A105" t="str">
            <v>0136332000012267</v>
          </cell>
          <cell r="B105">
            <v>7831</v>
          </cell>
          <cell r="C105">
            <v>1</v>
          </cell>
          <cell r="D105">
            <v>6828</v>
          </cell>
          <cell r="E105">
            <v>284</v>
          </cell>
          <cell r="F105">
            <v>6831.4139999999989</v>
          </cell>
          <cell r="G105">
            <v>284.142</v>
          </cell>
        </row>
        <row r="106">
          <cell r="A106" t="str">
            <v>0087062000004120</v>
          </cell>
          <cell r="B106">
            <v>8597</v>
          </cell>
          <cell r="C106">
            <v>1</v>
          </cell>
          <cell r="D106">
            <v>776</v>
          </cell>
          <cell r="E106">
            <v>0</v>
          </cell>
          <cell r="F106">
            <v>776.38799999999992</v>
          </cell>
          <cell r="G106">
            <v>0</v>
          </cell>
        </row>
        <row r="107">
          <cell r="A107" t="str">
            <v>0128192000008804</v>
          </cell>
          <cell r="B107">
            <v>6375</v>
          </cell>
          <cell r="C107">
            <v>1</v>
          </cell>
          <cell r="D107">
            <v>51</v>
          </cell>
          <cell r="E107">
            <v>0</v>
          </cell>
          <cell r="F107">
            <v>51.025499999999994</v>
          </cell>
          <cell r="G107">
            <v>0</v>
          </cell>
        </row>
        <row r="108">
          <cell r="A108" t="str">
            <v>0066042000003776</v>
          </cell>
          <cell r="B108">
            <v>8596</v>
          </cell>
          <cell r="C108">
            <v>1</v>
          </cell>
          <cell r="D108">
            <v>2295</v>
          </cell>
          <cell r="E108">
            <v>4</v>
          </cell>
          <cell r="F108">
            <v>2296.1475</v>
          </cell>
          <cell r="G108">
            <v>4.0019999999999998</v>
          </cell>
        </row>
        <row r="109">
          <cell r="A109" t="str">
            <v>0100562000004469</v>
          </cell>
          <cell r="B109">
            <v>8862</v>
          </cell>
          <cell r="C109">
            <v>1</v>
          </cell>
          <cell r="D109">
            <v>224</v>
          </cell>
          <cell r="E109">
            <v>1</v>
          </cell>
          <cell r="F109">
            <v>224.11199999999997</v>
          </cell>
          <cell r="G109">
            <v>1.0004999999999999</v>
          </cell>
        </row>
        <row r="110">
          <cell r="A110" t="str">
            <v>30013400007188</v>
          </cell>
          <cell r="B110">
            <v>6265</v>
          </cell>
          <cell r="C110">
            <v>1</v>
          </cell>
          <cell r="D110">
            <v>874</v>
          </cell>
          <cell r="E110">
            <v>0</v>
          </cell>
          <cell r="F110">
            <v>874.4369999999999</v>
          </cell>
          <cell r="G110">
            <v>0</v>
          </cell>
        </row>
        <row r="111">
          <cell r="A111" t="str">
            <v>0155482000014445</v>
          </cell>
          <cell r="B111">
            <v>9938</v>
          </cell>
          <cell r="C111">
            <v>1</v>
          </cell>
          <cell r="D111">
            <v>1246</v>
          </cell>
          <cell r="E111">
            <v>23</v>
          </cell>
          <cell r="F111">
            <v>1246.6229999999998</v>
          </cell>
          <cell r="G111">
            <v>23.011500000000002</v>
          </cell>
        </row>
        <row r="112">
          <cell r="A112" t="str">
            <v>0057152000003854</v>
          </cell>
          <cell r="B112">
            <v>8161</v>
          </cell>
          <cell r="C112">
            <v>1</v>
          </cell>
          <cell r="D112">
            <v>371791</v>
          </cell>
          <cell r="E112">
            <v>1684</v>
          </cell>
          <cell r="F112">
            <v>371975.89499999996</v>
          </cell>
          <cell r="G112">
            <v>1684.8419999999999</v>
          </cell>
        </row>
        <row r="113">
          <cell r="A113" t="str">
            <v>0134232000011026</v>
          </cell>
          <cell r="B113">
            <v>7564</v>
          </cell>
          <cell r="C113">
            <v>1</v>
          </cell>
          <cell r="D113">
            <v>30410</v>
          </cell>
          <cell r="E113">
            <v>931</v>
          </cell>
          <cell r="F113">
            <v>30425.204999999998</v>
          </cell>
          <cell r="G113">
            <v>931.46549999999991</v>
          </cell>
        </row>
        <row r="114">
          <cell r="A114" t="str">
            <v>0157862000014885</v>
          </cell>
          <cell r="B114">
            <v>6042</v>
          </cell>
          <cell r="C114">
            <v>1</v>
          </cell>
          <cell r="D114">
            <v>25</v>
          </cell>
          <cell r="E114">
            <v>1</v>
          </cell>
          <cell r="F114">
            <v>25.012499999999999</v>
          </cell>
          <cell r="G114">
            <v>1.0004999999999999</v>
          </cell>
        </row>
        <row r="115">
          <cell r="A115" t="str">
            <v>0129262000009408</v>
          </cell>
          <cell r="B115">
            <v>6703</v>
          </cell>
          <cell r="C115">
            <v>1</v>
          </cell>
          <cell r="D115">
            <v>551</v>
          </cell>
          <cell r="E115">
            <v>0</v>
          </cell>
          <cell r="F115">
            <v>551.27549999999997</v>
          </cell>
          <cell r="G115">
            <v>0</v>
          </cell>
        </row>
        <row r="116">
          <cell r="A116" t="str">
            <v>30018200007227</v>
          </cell>
          <cell r="B116">
            <v>6001</v>
          </cell>
          <cell r="C116">
            <v>1</v>
          </cell>
          <cell r="D116">
            <v>1020</v>
          </cell>
          <cell r="E116">
            <v>29</v>
          </cell>
          <cell r="F116">
            <v>1020.5099999999999</v>
          </cell>
          <cell r="G116">
            <v>29.014499999999998</v>
          </cell>
        </row>
        <row r="117">
          <cell r="A117" t="str">
            <v>0100052000004314</v>
          </cell>
          <cell r="B117">
            <v>8930</v>
          </cell>
          <cell r="C117">
            <v>1</v>
          </cell>
          <cell r="D117">
            <v>426</v>
          </cell>
          <cell r="E117">
            <v>0</v>
          </cell>
          <cell r="F117">
            <v>426.21299999999997</v>
          </cell>
          <cell r="G117">
            <v>0</v>
          </cell>
        </row>
        <row r="118">
          <cell r="A118" t="str">
            <v>0152542000014130</v>
          </cell>
          <cell r="B118">
            <v>9600</v>
          </cell>
          <cell r="C118">
            <v>1</v>
          </cell>
          <cell r="D118">
            <v>18746</v>
          </cell>
          <cell r="E118">
            <v>176</v>
          </cell>
          <cell r="F118">
            <v>18755.373</v>
          </cell>
          <cell r="G118">
            <v>176.08799999999999</v>
          </cell>
        </row>
        <row r="119">
          <cell r="A119" t="str">
            <v>0106432000005204</v>
          </cell>
          <cell r="B119">
            <v>6901</v>
          </cell>
          <cell r="C119">
            <v>1</v>
          </cell>
          <cell r="D119">
            <v>321</v>
          </cell>
          <cell r="E119">
            <v>23</v>
          </cell>
          <cell r="F119">
            <v>321.16049999999996</v>
          </cell>
          <cell r="G119">
            <v>23.011500000000002</v>
          </cell>
        </row>
        <row r="120">
          <cell r="A120" t="str">
            <v>0128182000008810</v>
          </cell>
          <cell r="B120">
            <v>6866</v>
          </cell>
          <cell r="C120">
            <v>1</v>
          </cell>
          <cell r="D120">
            <v>42</v>
          </cell>
          <cell r="E120">
            <v>0</v>
          </cell>
          <cell r="F120">
            <v>42.020999999999994</v>
          </cell>
          <cell r="G120">
            <v>0</v>
          </cell>
        </row>
        <row r="121">
          <cell r="A121" t="str">
            <v>0104642000005055</v>
          </cell>
          <cell r="B121">
            <v>6341</v>
          </cell>
          <cell r="C121">
            <v>1</v>
          </cell>
          <cell r="D121">
            <v>113</v>
          </cell>
          <cell r="E121">
            <v>1</v>
          </cell>
          <cell r="F121">
            <v>113.0565</v>
          </cell>
          <cell r="G121">
            <v>1.0004999999999999</v>
          </cell>
        </row>
        <row r="122">
          <cell r="A122" t="str">
            <v>0145362000012947</v>
          </cell>
          <cell r="B122">
            <v>9282</v>
          </cell>
          <cell r="C122">
            <v>1</v>
          </cell>
          <cell r="D122">
            <v>1</v>
          </cell>
          <cell r="E122">
            <v>0</v>
          </cell>
          <cell r="F122">
            <v>2.0009999999999999</v>
          </cell>
          <cell r="G122">
            <v>0</v>
          </cell>
        </row>
        <row r="123">
          <cell r="A123" t="str">
            <v>0126952000008428</v>
          </cell>
          <cell r="B123">
            <v>6860</v>
          </cell>
          <cell r="C123">
            <v>1</v>
          </cell>
          <cell r="D123">
            <v>15522</v>
          </cell>
          <cell r="E123">
            <v>133</v>
          </cell>
          <cell r="F123">
            <v>15529.760999999999</v>
          </cell>
          <cell r="G123">
            <v>133.06649999999999</v>
          </cell>
        </row>
        <row r="124">
          <cell r="A124" t="str">
            <v>0132152000010007</v>
          </cell>
          <cell r="B124">
            <v>7379</v>
          </cell>
          <cell r="C124">
            <v>1</v>
          </cell>
          <cell r="D124">
            <v>1013</v>
          </cell>
          <cell r="E124">
            <v>54</v>
          </cell>
          <cell r="F124">
            <v>1013.5064999999998</v>
          </cell>
          <cell r="G124">
            <v>54.026999999999994</v>
          </cell>
        </row>
        <row r="125">
          <cell r="A125" t="str">
            <v>0100572000004465</v>
          </cell>
          <cell r="B125">
            <v>6489</v>
          </cell>
          <cell r="C125">
            <v>1</v>
          </cell>
          <cell r="D125">
            <v>127</v>
          </cell>
          <cell r="E125">
            <v>1</v>
          </cell>
          <cell r="F125">
            <v>127.06349999999999</v>
          </cell>
          <cell r="G125">
            <v>1.0004999999999999</v>
          </cell>
        </row>
        <row r="126">
          <cell r="A126" t="str">
            <v>0150582000013966</v>
          </cell>
          <cell r="B126">
            <v>9616</v>
          </cell>
          <cell r="C126">
            <v>1</v>
          </cell>
          <cell r="D126">
            <v>19367</v>
          </cell>
          <cell r="E126">
            <v>0</v>
          </cell>
          <cell r="F126">
            <v>19376.683499999999</v>
          </cell>
          <cell r="G126">
            <v>0</v>
          </cell>
        </row>
        <row r="127">
          <cell r="A127" t="str">
            <v>0100352000004431</v>
          </cell>
          <cell r="B127">
            <v>6049</v>
          </cell>
          <cell r="C127">
            <v>1</v>
          </cell>
          <cell r="D127">
            <v>376</v>
          </cell>
          <cell r="E127">
            <v>23</v>
          </cell>
          <cell r="F127">
            <v>376.18799999999999</v>
          </cell>
          <cell r="G127">
            <v>23.011500000000002</v>
          </cell>
        </row>
        <row r="128">
          <cell r="A128" t="str">
            <v>0059112000003522</v>
          </cell>
          <cell r="B128">
            <v>8496</v>
          </cell>
          <cell r="C128">
            <v>1</v>
          </cell>
          <cell r="D128">
            <v>2206</v>
          </cell>
          <cell r="E128">
            <v>3</v>
          </cell>
          <cell r="F128">
            <v>2207.1030000000001</v>
          </cell>
          <cell r="G128">
            <v>3.0014999999999996</v>
          </cell>
        </row>
        <row r="129">
          <cell r="A129" t="str">
            <v>0096002000004237</v>
          </cell>
          <cell r="B129">
            <v>8185</v>
          </cell>
          <cell r="C129">
            <v>1</v>
          </cell>
          <cell r="D129">
            <v>625</v>
          </cell>
          <cell r="E129">
            <v>0</v>
          </cell>
          <cell r="F129">
            <v>625.3125</v>
          </cell>
          <cell r="G129">
            <v>0</v>
          </cell>
        </row>
        <row r="130">
          <cell r="A130" t="str">
            <v>0130082000009596</v>
          </cell>
          <cell r="B130">
            <v>7717</v>
          </cell>
          <cell r="C130">
            <v>1</v>
          </cell>
          <cell r="D130">
            <v>428</v>
          </cell>
          <cell r="E130">
            <v>61</v>
          </cell>
          <cell r="F130">
            <v>428.214</v>
          </cell>
          <cell r="G130">
            <v>61.030499999999996</v>
          </cell>
        </row>
        <row r="131">
          <cell r="A131" t="str">
            <v>0152442000014123</v>
          </cell>
          <cell r="B131">
            <v>6710</v>
          </cell>
          <cell r="C131">
            <v>1</v>
          </cell>
          <cell r="D131">
            <v>92941</v>
          </cell>
          <cell r="E131">
            <v>3525</v>
          </cell>
          <cell r="F131">
            <v>92987.470499999996</v>
          </cell>
          <cell r="G131">
            <v>3526.7624999999998</v>
          </cell>
        </row>
        <row r="132">
          <cell r="A132" t="str">
            <v>0130092000009594</v>
          </cell>
          <cell r="B132">
            <v>7724</v>
          </cell>
          <cell r="C132">
            <v>1</v>
          </cell>
          <cell r="D132">
            <v>4</v>
          </cell>
          <cell r="E132">
            <v>0</v>
          </cell>
          <cell r="F132">
            <v>4.0019999999999998</v>
          </cell>
          <cell r="G132">
            <v>0</v>
          </cell>
        </row>
        <row r="133">
          <cell r="A133" t="str">
            <v>0104952000005109</v>
          </cell>
          <cell r="B133">
            <v>6764</v>
          </cell>
          <cell r="C133">
            <v>1</v>
          </cell>
          <cell r="D133">
            <v>23978</v>
          </cell>
          <cell r="E133">
            <v>502</v>
          </cell>
          <cell r="F133">
            <v>23989.988999999998</v>
          </cell>
          <cell r="G133">
            <v>502.25099999999998</v>
          </cell>
        </row>
        <row r="134">
          <cell r="A134" t="str">
            <v>0150022000013937</v>
          </cell>
          <cell r="B134">
            <v>9565</v>
          </cell>
          <cell r="C134">
            <v>1</v>
          </cell>
          <cell r="D134">
            <v>29507</v>
          </cell>
          <cell r="E134">
            <v>1154</v>
          </cell>
          <cell r="F134">
            <v>29521.753499999999</v>
          </cell>
          <cell r="G134">
            <v>1154.577</v>
          </cell>
        </row>
        <row r="135">
          <cell r="A135" t="str">
            <v>0150142000013949</v>
          </cell>
          <cell r="B135">
            <v>9400</v>
          </cell>
          <cell r="C135">
            <v>1</v>
          </cell>
          <cell r="D135">
            <v>87953</v>
          </cell>
          <cell r="E135">
            <v>1090</v>
          </cell>
          <cell r="F135">
            <v>87996.97649999999</v>
          </cell>
          <cell r="G135">
            <v>1090.5449999999998</v>
          </cell>
        </row>
        <row r="136">
          <cell r="A136" t="str">
            <v>0100322000004412</v>
          </cell>
          <cell r="B136">
            <v>8799</v>
          </cell>
          <cell r="C136">
            <v>1</v>
          </cell>
          <cell r="D136">
            <v>2999</v>
          </cell>
          <cell r="E136">
            <v>175</v>
          </cell>
          <cell r="F136">
            <v>3000.4994999999999</v>
          </cell>
          <cell r="G136">
            <v>175.08749999999998</v>
          </cell>
        </row>
        <row r="137">
          <cell r="A137" t="str">
            <v>0042682000002758</v>
          </cell>
          <cell r="B137">
            <v>8018</v>
          </cell>
          <cell r="C137">
            <v>1</v>
          </cell>
          <cell r="D137">
            <v>3</v>
          </cell>
          <cell r="E137">
            <v>0</v>
          </cell>
          <cell r="F137">
            <v>6.0029999999999992</v>
          </cell>
          <cell r="G137">
            <v>0</v>
          </cell>
        </row>
        <row r="138">
          <cell r="A138" t="str">
            <v>0136722000012336</v>
          </cell>
          <cell r="B138">
            <v>7930</v>
          </cell>
          <cell r="C138">
            <v>1</v>
          </cell>
          <cell r="D138">
            <v>16</v>
          </cell>
          <cell r="E138">
            <v>0</v>
          </cell>
          <cell r="F138">
            <v>16.007999999999999</v>
          </cell>
          <cell r="G138">
            <v>0</v>
          </cell>
        </row>
        <row r="139">
          <cell r="A139" t="str">
            <v>0046022000002999</v>
          </cell>
          <cell r="B139">
            <v>8863</v>
          </cell>
          <cell r="C139">
            <v>1</v>
          </cell>
          <cell r="D139">
            <v>546</v>
          </cell>
          <cell r="E139">
            <v>44</v>
          </cell>
          <cell r="F139">
            <v>546.27299999999991</v>
          </cell>
          <cell r="G139">
            <v>44.021999999999998</v>
          </cell>
        </row>
        <row r="140">
          <cell r="A140" t="str">
            <v>0148232000013428</v>
          </cell>
          <cell r="B140">
            <v>9932</v>
          </cell>
          <cell r="C140">
            <v>1</v>
          </cell>
          <cell r="D140">
            <v>336</v>
          </cell>
          <cell r="E140">
            <v>26</v>
          </cell>
          <cell r="F140">
            <v>336.16799999999995</v>
          </cell>
          <cell r="G140">
            <v>26.012999999999998</v>
          </cell>
        </row>
        <row r="141">
          <cell r="A141" t="str">
            <v>30025100007313</v>
          </cell>
          <cell r="B141">
            <v>8960</v>
          </cell>
          <cell r="C141">
            <v>1</v>
          </cell>
          <cell r="D141">
            <v>8</v>
          </cell>
          <cell r="E141">
            <v>4</v>
          </cell>
          <cell r="F141">
            <v>8.0039999999999996</v>
          </cell>
          <cell r="G141">
            <v>4.0019999999999998</v>
          </cell>
        </row>
        <row r="142">
          <cell r="A142" t="str">
            <v>0104062000005062</v>
          </cell>
          <cell r="B142">
            <v>6817</v>
          </cell>
          <cell r="C142">
            <v>1</v>
          </cell>
          <cell r="D142">
            <v>275</v>
          </cell>
          <cell r="E142">
            <v>17</v>
          </cell>
          <cell r="F142">
            <v>275.13749999999999</v>
          </cell>
          <cell r="G142">
            <v>17.008499999999998</v>
          </cell>
        </row>
        <row r="143">
          <cell r="A143" t="str">
            <v>0136272000012246</v>
          </cell>
          <cell r="B143">
            <v>7566</v>
          </cell>
          <cell r="C143">
            <v>1</v>
          </cell>
          <cell r="D143">
            <v>95</v>
          </cell>
          <cell r="E143">
            <v>11</v>
          </cell>
          <cell r="F143">
            <v>95.047499999999999</v>
          </cell>
          <cell r="G143">
            <v>11.0055</v>
          </cell>
        </row>
        <row r="144">
          <cell r="A144" t="str">
            <v>0134822000011428</v>
          </cell>
          <cell r="B144">
            <v>7514</v>
          </cell>
          <cell r="C144">
            <v>1</v>
          </cell>
          <cell r="D144">
            <v>302</v>
          </cell>
          <cell r="E144">
            <v>10</v>
          </cell>
          <cell r="F144">
            <v>302.15100000000001</v>
          </cell>
          <cell r="G144">
            <v>10.004999999999999</v>
          </cell>
        </row>
        <row r="145">
          <cell r="A145" t="str">
            <v>0128432000009047</v>
          </cell>
          <cell r="B145">
            <v>6833</v>
          </cell>
          <cell r="C145">
            <v>1</v>
          </cell>
          <cell r="D145">
            <v>21022</v>
          </cell>
          <cell r="E145">
            <v>409</v>
          </cell>
          <cell r="F145">
            <v>21032.510999999999</v>
          </cell>
          <cell r="G145">
            <v>409.20449999999994</v>
          </cell>
        </row>
        <row r="146">
          <cell r="A146" t="str">
            <v>30022700007274</v>
          </cell>
          <cell r="B146">
            <v>6802</v>
          </cell>
          <cell r="C146">
            <v>1</v>
          </cell>
          <cell r="D146">
            <v>23</v>
          </cell>
          <cell r="E146">
            <v>0</v>
          </cell>
          <cell r="F146">
            <v>23.011500000000002</v>
          </cell>
          <cell r="G146">
            <v>0</v>
          </cell>
        </row>
        <row r="147">
          <cell r="A147" t="str">
            <v>0152052000014090</v>
          </cell>
          <cell r="B147">
            <v>9757</v>
          </cell>
          <cell r="C147">
            <v>1</v>
          </cell>
          <cell r="D147">
            <v>6351</v>
          </cell>
          <cell r="E147">
            <v>221</v>
          </cell>
          <cell r="F147">
            <v>6354.1754999999994</v>
          </cell>
          <cell r="G147">
            <v>221.1105</v>
          </cell>
        </row>
        <row r="148">
          <cell r="A148" t="str">
            <v>0144642000012746</v>
          </cell>
          <cell r="B148">
            <v>6655</v>
          </cell>
          <cell r="C148">
            <v>1</v>
          </cell>
          <cell r="D148">
            <v>84</v>
          </cell>
          <cell r="E148">
            <v>0</v>
          </cell>
          <cell r="F148">
            <v>84.041999999999987</v>
          </cell>
          <cell r="G148">
            <v>0</v>
          </cell>
        </row>
        <row r="149">
          <cell r="A149" t="str">
            <v>0128172000008808</v>
          </cell>
          <cell r="B149">
            <v>6661</v>
          </cell>
          <cell r="C149">
            <v>1</v>
          </cell>
          <cell r="D149">
            <v>27</v>
          </cell>
          <cell r="E149">
            <v>0</v>
          </cell>
          <cell r="F149">
            <v>27.013499999999997</v>
          </cell>
          <cell r="G149">
            <v>0</v>
          </cell>
        </row>
        <row r="150">
          <cell r="A150" t="str">
            <v>0130152000009606</v>
          </cell>
          <cell r="B150">
            <v>7122</v>
          </cell>
          <cell r="C150">
            <v>1</v>
          </cell>
          <cell r="D150">
            <v>15443</v>
          </cell>
          <cell r="E150">
            <v>1119</v>
          </cell>
          <cell r="F150">
            <v>15450.721499999998</v>
          </cell>
          <cell r="G150">
            <v>1119.5594999999998</v>
          </cell>
        </row>
        <row r="151">
          <cell r="A151" t="str">
            <v>0134432000011165</v>
          </cell>
          <cell r="B151">
            <v>7168</v>
          </cell>
          <cell r="C151">
            <v>1</v>
          </cell>
          <cell r="D151">
            <v>55</v>
          </cell>
          <cell r="E151">
            <v>0</v>
          </cell>
          <cell r="F151">
            <v>55.027499999999996</v>
          </cell>
          <cell r="G151">
            <v>0</v>
          </cell>
        </row>
        <row r="152">
          <cell r="A152" t="str">
            <v>0121292000006470</v>
          </cell>
          <cell r="B152">
            <v>6400</v>
          </cell>
          <cell r="C152">
            <v>1</v>
          </cell>
          <cell r="D152">
            <v>167</v>
          </cell>
          <cell r="E152">
            <v>0</v>
          </cell>
          <cell r="F152">
            <v>167.08349999999999</v>
          </cell>
          <cell r="G152">
            <v>0</v>
          </cell>
        </row>
        <row r="153">
          <cell r="A153" t="str">
            <v>30025600007320</v>
          </cell>
          <cell r="B153">
            <v>6368</v>
          </cell>
          <cell r="C153">
            <v>1</v>
          </cell>
          <cell r="D153">
            <v>41</v>
          </cell>
          <cell r="E153">
            <v>17</v>
          </cell>
          <cell r="F153">
            <v>4707.9274999999998</v>
          </cell>
          <cell r="G153">
            <v>1952.0674999999999</v>
          </cell>
        </row>
        <row r="154">
          <cell r="A154" t="str">
            <v>0092002000004174</v>
          </cell>
          <cell r="B154">
            <v>8320</v>
          </cell>
          <cell r="C154">
            <v>1</v>
          </cell>
          <cell r="D154">
            <v>1074</v>
          </cell>
          <cell r="E154">
            <v>86</v>
          </cell>
          <cell r="F154">
            <v>1074.5369999999998</v>
          </cell>
          <cell r="G154">
            <v>86.042999999999992</v>
          </cell>
        </row>
        <row r="155">
          <cell r="A155" t="str">
            <v>0154142000014296</v>
          </cell>
          <cell r="B155">
            <v>9923</v>
          </cell>
          <cell r="C155">
            <v>1</v>
          </cell>
          <cell r="D155">
            <v>22490</v>
          </cell>
          <cell r="E155">
            <v>899</v>
          </cell>
          <cell r="F155">
            <v>22501.244999999999</v>
          </cell>
          <cell r="G155">
            <v>899.44949999999994</v>
          </cell>
        </row>
        <row r="156">
          <cell r="A156" t="str">
            <v>30023400007284</v>
          </cell>
          <cell r="B156">
            <v>8717</v>
          </cell>
          <cell r="C156">
            <v>1</v>
          </cell>
          <cell r="D156">
            <v>6</v>
          </cell>
          <cell r="E156">
            <v>5</v>
          </cell>
          <cell r="F156">
            <v>12.005999999999998</v>
          </cell>
          <cell r="G156">
            <v>10.004999999999999</v>
          </cell>
        </row>
        <row r="157">
          <cell r="A157" t="str">
            <v>0154372000014342</v>
          </cell>
          <cell r="B157">
            <v>9827</v>
          </cell>
          <cell r="C157">
            <v>1</v>
          </cell>
          <cell r="D157">
            <v>3482</v>
          </cell>
          <cell r="E157">
            <v>140</v>
          </cell>
          <cell r="F157">
            <v>3483.741</v>
          </cell>
          <cell r="G157">
            <v>140.07</v>
          </cell>
        </row>
        <row r="158">
          <cell r="A158" t="str">
            <v>0104642000005053</v>
          </cell>
          <cell r="B158">
            <v>6329</v>
          </cell>
          <cell r="C158">
            <v>1</v>
          </cell>
          <cell r="D158">
            <v>190</v>
          </cell>
          <cell r="E158">
            <v>1</v>
          </cell>
          <cell r="F158">
            <v>190.095</v>
          </cell>
          <cell r="G158">
            <v>1.0004999999999999</v>
          </cell>
        </row>
        <row r="159">
          <cell r="A159" t="str">
            <v>30020000007234</v>
          </cell>
          <cell r="B159">
            <v>8925</v>
          </cell>
          <cell r="C159">
            <v>1</v>
          </cell>
          <cell r="D159">
            <v>5875</v>
          </cell>
          <cell r="E159">
            <v>204</v>
          </cell>
          <cell r="F159">
            <v>5877.9375</v>
          </cell>
          <cell r="G159">
            <v>204.10199999999998</v>
          </cell>
        </row>
        <row r="160">
          <cell r="A160" t="str">
            <v>Total</v>
          </cell>
          <cell r="D160">
            <v>13280039</v>
          </cell>
          <cell r="E160">
            <v>247826</v>
          </cell>
          <cell r="F160">
            <v>13310328.244500002</v>
          </cell>
          <cell r="G160">
            <v>254297.54649999985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110"/>
  <sheetViews>
    <sheetView workbookViewId="0">
      <pane ySplit="3" topLeftCell="A51" activePane="bottomLeft" state="frozen"/>
      <selection pane="bottomLeft" activeCell="B58" sqref="B58"/>
    </sheetView>
  </sheetViews>
  <sheetFormatPr defaultRowHeight="14.5" x14ac:dyDescent="0.35"/>
  <cols>
    <col min="1" max="1" width="9.88671875" style="24" customWidth="1"/>
    <col min="2" max="2" width="32.6640625" style="24" customWidth="1"/>
    <col min="3" max="3" width="12.21875" style="24" customWidth="1"/>
    <col min="4" max="4" width="19.6640625" style="24" bestFit="1" customWidth="1"/>
    <col min="5" max="5" width="16.6640625" style="66" bestFit="1" customWidth="1"/>
    <col min="6" max="6" width="15.33203125" style="66" bestFit="1" customWidth="1"/>
    <col min="7" max="7" width="16.6640625" style="66" bestFit="1" customWidth="1"/>
    <col min="8" max="8" width="23.88671875" style="66" bestFit="1" customWidth="1"/>
    <col min="9" max="9" width="16.21875" style="24" customWidth="1"/>
    <col min="10" max="10" width="14.5546875" style="24" customWidth="1"/>
    <col min="11" max="11" width="18.6640625" style="24" customWidth="1"/>
    <col min="12" max="12" width="17.44140625" style="24" customWidth="1"/>
    <col min="13" max="13" width="17.5546875" style="24" customWidth="1"/>
    <col min="14" max="14" width="18" style="24" bestFit="1" customWidth="1"/>
    <col min="15" max="15" width="20.5546875" style="24" customWidth="1"/>
    <col min="16" max="16" width="21.88671875" style="24" customWidth="1"/>
    <col min="17" max="16384" width="8.88671875" style="24"/>
  </cols>
  <sheetData>
    <row r="1" spans="1:15" ht="20" customHeight="1" thickTop="1" x14ac:dyDescent="0.35">
      <c r="A1" s="449" t="s">
        <v>23</v>
      </c>
      <c r="B1" s="452" t="s">
        <v>24</v>
      </c>
      <c r="C1" s="455" t="s">
        <v>25</v>
      </c>
      <c r="D1" s="458" t="s">
        <v>353</v>
      </c>
      <c r="E1" s="461" t="s">
        <v>2</v>
      </c>
      <c r="F1" s="461"/>
      <c r="G1" s="461"/>
      <c r="H1" s="461"/>
      <c r="I1" s="438" t="s">
        <v>16</v>
      </c>
      <c r="J1" s="439"/>
      <c r="K1" s="439"/>
      <c r="L1" s="439"/>
      <c r="M1" s="439"/>
      <c r="N1" s="439"/>
      <c r="O1" s="440"/>
    </row>
    <row r="2" spans="1:15" ht="15.5" customHeight="1" x14ac:dyDescent="0.35">
      <c r="A2" s="450"/>
      <c r="B2" s="453"/>
      <c r="C2" s="456"/>
      <c r="D2" s="459"/>
      <c r="E2" s="441" t="s">
        <v>15</v>
      </c>
      <c r="F2" s="442"/>
      <c r="G2" s="442"/>
      <c r="H2" s="443"/>
      <c r="I2" s="444" t="s">
        <v>15</v>
      </c>
      <c r="J2" s="445"/>
      <c r="K2" s="445"/>
      <c r="L2" s="445"/>
      <c r="M2" s="445"/>
      <c r="N2" s="446"/>
      <c r="O2" s="447" t="s">
        <v>5</v>
      </c>
    </row>
    <row r="3" spans="1:15" ht="24.5" customHeight="1" thickBot="1" x14ac:dyDescent="0.4">
      <c r="A3" s="451"/>
      <c r="B3" s="454"/>
      <c r="C3" s="457"/>
      <c r="D3" s="460"/>
      <c r="E3" s="25" t="s">
        <v>17</v>
      </c>
      <c r="F3" s="25" t="s">
        <v>18</v>
      </c>
      <c r="G3" s="25" t="s">
        <v>19</v>
      </c>
      <c r="H3" s="26" t="s">
        <v>5</v>
      </c>
      <c r="I3" s="27" t="s">
        <v>119</v>
      </c>
      <c r="J3" s="28" t="s">
        <v>27</v>
      </c>
      <c r="K3" s="29" t="s">
        <v>354</v>
      </c>
      <c r="L3" s="30" t="s">
        <v>17</v>
      </c>
      <c r="M3" s="31" t="s">
        <v>18</v>
      </c>
      <c r="N3" s="32" t="s">
        <v>19</v>
      </c>
      <c r="O3" s="448"/>
    </row>
    <row r="4" spans="1:15" ht="15" thickTop="1" x14ac:dyDescent="0.35">
      <c r="A4" s="33">
        <v>6042</v>
      </c>
      <c r="B4" s="34" t="s">
        <v>107</v>
      </c>
      <c r="C4" s="35" t="s">
        <v>28</v>
      </c>
      <c r="D4" s="46">
        <v>7370.69</v>
      </c>
      <c r="E4" s="51">
        <f>D4*0.1</f>
        <v>737.06899999999996</v>
      </c>
      <c r="F4" s="36">
        <v>0</v>
      </c>
      <c r="G4" s="52">
        <f>D4*0.9</f>
        <v>6633.6210000000001</v>
      </c>
      <c r="H4" s="53" t="s">
        <v>41</v>
      </c>
      <c r="I4" s="68"/>
      <c r="J4" s="37"/>
      <c r="K4" s="38"/>
      <c r="L4" s="39">
        <f>K4*0.1</f>
        <v>0</v>
      </c>
      <c r="M4" s="40">
        <f>K4*0</f>
        <v>0</v>
      </c>
      <c r="N4" s="41">
        <f>K4*0.9</f>
        <v>0</v>
      </c>
      <c r="O4" s="42"/>
    </row>
    <row r="5" spans="1:15" x14ac:dyDescent="0.35">
      <c r="A5" s="43">
        <v>6049</v>
      </c>
      <c r="B5" s="44" t="s">
        <v>109</v>
      </c>
      <c r="C5" s="45" t="s">
        <v>28</v>
      </c>
      <c r="D5" s="46">
        <v>130408.17</v>
      </c>
      <c r="E5" s="51">
        <f>D5*0.4</f>
        <v>52163.268000000004</v>
      </c>
      <c r="F5" s="47">
        <f>D5*0.1</f>
        <v>13040.817000000001</v>
      </c>
      <c r="G5" s="47">
        <f>D5*0.5</f>
        <v>65204.084999999999</v>
      </c>
      <c r="H5" s="48"/>
      <c r="I5" s="67"/>
      <c r="J5" s="49"/>
      <c r="K5" s="50"/>
      <c r="L5" s="39">
        <f>K5*0.4</f>
        <v>0</v>
      </c>
      <c r="M5" s="40">
        <f>K5*0.1</f>
        <v>0</v>
      </c>
      <c r="N5" s="41">
        <f>K5*0.5</f>
        <v>0</v>
      </c>
      <c r="O5" s="42"/>
    </row>
    <row r="6" spans="1:15" x14ac:dyDescent="0.35">
      <c r="A6" s="43">
        <v>6058</v>
      </c>
      <c r="B6" s="44" t="s">
        <v>116</v>
      </c>
      <c r="C6" s="45" t="s">
        <v>28</v>
      </c>
      <c r="D6" s="46">
        <v>74.040000000000006</v>
      </c>
      <c r="E6" s="51">
        <f>D6*0.4</f>
        <v>29.616000000000003</v>
      </c>
      <c r="F6" s="47">
        <f>D6*0.1</f>
        <v>7.4040000000000008</v>
      </c>
      <c r="G6" s="47">
        <f>D6*0.5</f>
        <v>37.020000000000003</v>
      </c>
      <c r="H6" s="48"/>
      <c r="I6" s="67"/>
      <c r="J6" s="49"/>
      <c r="K6" s="50"/>
      <c r="L6" s="39">
        <f t="shared" ref="L6:L64" si="0">K6*0.4</f>
        <v>0</v>
      </c>
      <c r="M6" s="40">
        <f t="shared" ref="M6:M64" si="1">K6*0.1</f>
        <v>0</v>
      </c>
      <c r="N6" s="41">
        <f t="shared" ref="N6:N64" si="2">K6*0.5</f>
        <v>0</v>
      </c>
      <c r="O6" s="42"/>
    </row>
    <row r="7" spans="1:15" x14ac:dyDescent="0.35">
      <c r="A7" s="43">
        <v>6071</v>
      </c>
      <c r="B7" s="44" t="s">
        <v>84</v>
      </c>
      <c r="C7" s="45" t="s">
        <v>26</v>
      </c>
      <c r="D7" s="46">
        <v>4972.4799999999996</v>
      </c>
      <c r="E7" s="51">
        <f t="shared" ref="E7:E10" si="3">D7*0.4</f>
        <v>1988.992</v>
      </c>
      <c r="F7" s="47">
        <f t="shared" ref="F7:F10" si="4">D7*0.1</f>
        <v>497.24799999999999</v>
      </c>
      <c r="G7" s="47">
        <f t="shared" ref="G7:G10" si="5">D7*0.5</f>
        <v>2486.2399999999998</v>
      </c>
      <c r="H7" s="53"/>
      <c r="I7" s="67"/>
      <c r="J7" s="49"/>
      <c r="K7" s="50"/>
      <c r="L7" s="39">
        <f t="shared" si="0"/>
        <v>0</v>
      </c>
      <c r="M7" s="40">
        <f t="shared" si="1"/>
        <v>0</v>
      </c>
      <c r="N7" s="41">
        <f t="shared" si="2"/>
        <v>0</v>
      </c>
      <c r="O7" s="42"/>
    </row>
    <row r="8" spans="1:15" x14ac:dyDescent="0.35">
      <c r="A8" s="43">
        <v>6096</v>
      </c>
      <c r="B8" s="44" t="s">
        <v>69</v>
      </c>
      <c r="C8" s="45" t="s">
        <v>28</v>
      </c>
      <c r="D8" s="46">
        <v>66154.06</v>
      </c>
      <c r="E8" s="51">
        <f t="shared" si="3"/>
        <v>26461.624</v>
      </c>
      <c r="F8" s="47">
        <f t="shared" si="4"/>
        <v>6615.4059999999999</v>
      </c>
      <c r="G8" s="47">
        <f t="shared" si="5"/>
        <v>33077.03</v>
      </c>
      <c r="H8" s="53"/>
      <c r="I8" s="67"/>
      <c r="J8" s="49"/>
      <c r="K8" s="50"/>
      <c r="L8" s="39">
        <f t="shared" si="0"/>
        <v>0</v>
      </c>
      <c r="M8" s="40">
        <f t="shared" si="1"/>
        <v>0</v>
      </c>
      <c r="N8" s="41">
        <f t="shared" si="2"/>
        <v>0</v>
      </c>
      <c r="O8" s="42"/>
    </row>
    <row r="9" spans="1:15" x14ac:dyDescent="0.35">
      <c r="A9" s="43">
        <v>6192</v>
      </c>
      <c r="B9" s="44" t="s">
        <v>68</v>
      </c>
      <c r="C9" s="45" t="s">
        <v>28</v>
      </c>
      <c r="D9" s="46">
        <v>69603.78</v>
      </c>
      <c r="E9" s="51">
        <f t="shared" si="3"/>
        <v>27841.512000000002</v>
      </c>
      <c r="F9" s="47">
        <f t="shared" si="4"/>
        <v>6960.3780000000006</v>
      </c>
      <c r="G9" s="47">
        <f t="shared" si="5"/>
        <v>34801.89</v>
      </c>
      <c r="H9" s="53"/>
      <c r="I9" s="67"/>
      <c r="J9" s="49"/>
      <c r="K9" s="50"/>
      <c r="L9" s="39">
        <f t="shared" si="0"/>
        <v>0</v>
      </c>
      <c r="M9" s="40">
        <f t="shared" si="1"/>
        <v>0</v>
      </c>
      <c r="N9" s="41">
        <f t="shared" si="2"/>
        <v>0</v>
      </c>
      <c r="O9" s="42"/>
    </row>
    <row r="10" spans="1:15" x14ac:dyDescent="0.35">
      <c r="A10" s="43">
        <v>6251</v>
      </c>
      <c r="B10" s="44" t="s">
        <v>83</v>
      </c>
      <c r="C10" s="45" t="s">
        <v>26</v>
      </c>
      <c r="D10" s="46">
        <v>4498.25</v>
      </c>
      <c r="E10" s="51">
        <f t="shared" si="3"/>
        <v>1799.3000000000002</v>
      </c>
      <c r="F10" s="47">
        <f t="shared" si="4"/>
        <v>449.82500000000005</v>
      </c>
      <c r="G10" s="47">
        <f t="shared" si="5"/>
        <v>2249.125</v>
      </c>
      <c r="H10" s="53"/>
      <c r="I10" s="67"/>
      <c r="J10" s="49"/>
      <c r="K10" s="50"/>
      <c r="L10" s="39">
        <f t="shared" si="0"/>
        <v>0</v>
      </c>
      <c r="M10" s="40">
        <f t="shared" si="1"/>
        <v>0</v>
      </c>
      <c r="N10" s="41">
        <f t="shared" si="2"/>
        <v>0</v>
      </c>
      <c r="O10" s="42"/>
    </row>
    <row r="11" spans="1:15" x14ac:dyDescent="0.35">
      <c r="A11" s="43">
        <v>6300</v>
      </c>
      <c r="B11" s="44" t="s">
        <v>120</v>
      </c>
      <c r="C11" s="45" t="s">
        <v>28</v>
      </c>
      <c r="D11" s="46">
        <v>834957.13</v>
      </c>
      <c r="E11" s="51">
        <f>D11*0.1</f>
        <v>83495.713000000003</v>
      </c>
      <c r="F11" s="51">
        <v>0</v>
      </c>
      <c r="G11" s="52">
        <f>D11*0.9</f>
        <v>751461.41700000002</v>
      </c>
      <c r="H11" s="53" t="s">
        <v>41</v>
      </c>
      <c r="I11" s="67"/>
      <c r="J11" s="49"/>
      <c r="K11" s="50"/>
      <c r="L11" s="39">
        <f>K11*0.1</f>
        <v>0</v>
      </c>
      <c r="M11" s="40">
        <f>K11*0</f>
        <v>0</v>
      </c>
      <c r="N11" s="41">
        <f>K11*0.9</f>
        <v>0</v>
      </c>
      <c r="O11" s="42"/>
    </row>
    <row r="12" spans="1:15" x14ac:dyDescent="0.35">
      <c r="A12" s="43">
        <v>6321</v>
      </c>
      <c r="B12" s="44" t="s">
        <v>87</v>
      </c>
      <c r="C12" s="45" t="s">
        <v>26</v>
      </c>
      <c r="D12" s="46">
        <v>502.26</v>
      </c>
      <c r="E12" s="51">
        <f t="shared" ref="E12:E13" si="6">D12*0.4</f>
        <v>200.904</v>
      </c>
      <c r="F12" s="47">
        <f t="shared" ref="F12:F13" si="7">D12*0.1</f>
        <v>50.225999999999999</v>
      </c>
      <c r="G12" s="47">
        <f t="shared" ref="G12:G13" si="8">D12*0.5</f>
        <v>251.13</v>
      </c>
      <c r="H12" s="53"/>
      <c r="I12" s="67"/>
      <c r="J12" s="49"/>
      <c r="K12" s="50"/>
      <c r="L12" s="39">
        <f t="shared" si="0"/>
        <v>0</v>
      </c>
      <c r="M12" s="40">
        <f t="shared" si="1"/>
        <v>0</v>
      </c>
      <c r="N12" s="41">
        <f t="shared" si="2"/>
        <v>0</v>
      </c>
      <c r="O12" s="42"/>
    </row>
    <row r="13" spans="1:15" x14ac:dyDescent="0.35">
      <c r="A13" s="43">
        <v>6329</v>
      </c>
      <c r="B13" s="44" t="s">
        <v>73</v>
      </c>
      <c r="C13" s="45" t="s">
        <v>28</v>
      </c>
      <c r="D13" s="46">
        <v>53607.79</v>
      </c>
      <c r="E13" s="51">
        <f t="shared" si="6"/>
        <v>21443.116000000002</v>
      </c>
      <c r="F13" s="47">
        <f t="shared" si="7"/>
        <v>5360.7790000000005</v>
      </c>
      <c r="G13" s="47">
        <f t="shared" si="8"/>
        <v>26803.895</v>
      </c>
      <c r="H13" s="53"/>
      <c r="I13" s="67"/>
      <c r="J13" s="49"/>
      <c r="K13" s="50"/>
      <c r="L13" s="39">
        <f t="shared" si="0"/>
        <v>0</v>
      </c>
      <c r="M13" s="40">
        <f t="shared" si="1"/>
        <v>0</v>
      </c>
      <c r="N13" s="41">
        <f t="shared" si="2"/>
        <v>0</v>
      </c>
      <c r="O13" s="42"/>
    </row>
    <row r="14" spans="1:15" x14ac:dyDescent="0.35">
      <c r="A14" s="43">
        <v>6400</v>
      </c>
      <c r="B14" s="44" t="s">
        <v>94</v>
      </c>
      <c r="C14" s="45" t="s">
        <v>26</v>
      </c>
      <c r="D14" s="46">
        <v>97.01</v>
      </c>
      <c r="E14" s="51">
        <v>0</v>
      </c>
      <c r="F14" s="51">
        <v>0</v>
      </c>
      <c r="G14" s="52">
        <f>D14</f>
        <v>97.01</v>
      </c>
      <c r="H14" s="53" t="s">
        <v>14</v>
      </c>
      <c r="I14" s="67"/>
      <c r="J14" s="49"/>
      <c r="K14" s="50"/>
      <c r="L14" s="39">
        <f>K14*0</f>
        <v>0</v>
      </c>
      <c r="M14" s="40">
        <f>K14*0</f>
        <v>0</v>
      </c>
      <c r="N14" s="41">
        <f>K14*1</f>
        <v>0</v>
      </c>
      <c r="O14" s="42"/>
    </row>
    <row r="15" spans="1:15" x14ac:dyDescent="0.35">
      <c r="A15" s="43">
        <v>6489</v>
      </c>
      <c r="B15" s="44" t="s">
        <v>36</v>
      </c>
      <c r="C15" s="45" t="s">
        <v>28</v>
      </c>
      <c r="D15" s="46">
        <v>638563.12</v>
      </c>
      <c r="E15" s="51">
        <f t="shared" ref="E15:E22" si="9">D15*0.4</f>
        <v>255425.24800000002</v>
      </c>
      <c r="F15" s="47">
        <f t="shared" ref="F15:F22" si="10">D15*0.1</f>
        <v>63856.312000000005</v>
      </c>
      <c r="G15" s="47">
        <f t="shared" ref="G15:G22" si="11">D15*0.5</f>
        <v>319281.56</v>
      </c>
      <c r="H15" s="53"/>
      <c r="I15" s="67"/>
      <c r="J15" s="49"/>
      <c r="K15" s="50"/>
      <c r="L15" s="39">
        <f t="shared" si="0"/>
        <v>0</v>
      </c>
      <c r="M15" s="40">
        <f t="shared" si="1"/>
        <v>0</v>
      </c>
      <c r="N15" s="41">
        <f t="shared" si="2"/>
        <v>0</v>
      </c>
      <c r="O15" s="42"/>
    </row>
    <row r="16" spans="1:15" x14ac:dyDescent="0.35">
      <c r="A16" s="43">
        <v>6542</v>
      </c>
      <c r="B16" s="44" t="s">
        <v>32</v>
      </c>
      <c r="C16" s="45" t="s">
        <v>28</v>
      </c>
      <c r="D16" s="46">
        <v>1080579.02</v>
      </c>
      <c r="E16" s="51">
        <f t="shared" si="9"/>
        <v>432231.60800000001</v>
      </c>
      <c r="F16" s="47">
        <f t="shared" si="10"/>
        <v>108057.902</v>
      </c>
      <c r="G16" s="47">
        <f t="shared" si="11"/>
        <v>540289.51</v>
      </c>
      <c r="H16" s="53"/>
      <c r="I16" s="67"/>
      <c r="J16" s="49"/>
      <c r="K16" s="50"/>
      <c r="L16" s="39">
        <f t="shared" si="0"/>
        <v>0</v>
      </c>
      <c r="M16" s="40">
        <f t="shared" si="1"/>
        <v>0</v>
      </c>
      <c r="N16" s="41">
        <f t="shared" si="2"/>
        <v>0</v>
      </c>
      <c r="O16" s="42"/>
    </row>
    <row r="17" spans="1:15" x14ac:dyDescent="0.35">
      <c r="A17" s="43">
        <v>6569</v>
      </c>
      <c r="B17" s="44" t="s">
        <v>39</v>
      </c>
      <c r="C17" s="45" t="s">
        <v>28</v>
      </c>
      <c r="D17" s="46">
        <v>368493.02</v>
      </c>
      <c r="E17" s="51">
        <f t="shared" si="9"/>
        <v>147397.20800000001</v>
      </c>
      <c r="F17" s="47">
        <f t="shared" si="10"/>
        <v>36849.302000000003</v>
      </c>
      <c r="G17" s="47">
        <f t="shared" si="11"/>
        <v>184246.51</v>
      </c>
      <c r="H17" s="53"/>
      <c r="I17" s="67"/>
      <c r="J17" s="49"/>
      <c r="K17" s="50"/>
      <c r="L17" s="39">
        <f t="shared" si="0"/>
        <v>0</v>
      </c>
      <c r="M17" s="40">
        <f t="shared" si="1"/>
        <v>0</v>
      </c>
      <c r="N17" s="41">
        <f t="shared" si="2"/>
        <v>0</v>
      </c>
      <c r="O17" s="42"/>
    </row>
    <row r="18" spans="1:15" x14ac:dyDescent="0.35">
      <c r="A18" s="43">
        <v>6614</v>
      </c>
      <c r="B18" s="44" t="s">
        <v>89</v>
      </c>
      <c r="C18" s="45" t="s">
        <v>28</v>
      </c>
      <c r="D18" s="46">
        <v>1653.82</v>
      </c>
      <c r="E18" s="51">
        <f t="shared" si="9"/>
        <v>661.52800000000002</v>
      </c>
      <c r="F18" s="47">
        <f t="shared" si="10"/>
        <v>165.38200000000001</v>
      </c>
      <c r="G18" s="47">
        <f t="shared" si="11"/>
        <v>826.91</v>
      </c>
      <c r="H18" s="53"/>
      <c r="I18" s="67"/>
      <c r="J18" s="49"/>
      <c r="K18" s="50"/>
      <c r="L18" s="39">
        <f t="shared" si="0"/>
        <v>0</v>
      </c>
      <c r="M18" s="40">
        <f t="shared" si="1"/>
        <v>0</v>
      </c>
      <c r="N18" s="41">
        <f t="shared" si="2"/>
        <v>0</v>
      </c>
      <c r="O18" s="42"/>
    </row>
    <row r="19" spans="1:15" x14ac:dyDescent="0.35">
      <c r="A19" s="43">
        <v>6616</v>
      </c>
      <c r="B19" s="44" t="s">
        <v>80</v>
      </c>
      <c r="C19" s="45" t="s">
        <v>28</v>
      </c>
      <c r="D19" s="46">
        <v>628.30999999999995</v>
      </c>
      <c r="E19" s="51">
        <f t="shared" si="9"/>
        <v>251.32399999999998</v>
      </c>
      <c r="F19" s="47">
        <f t="shared" si="10"/>
        <v>62.830999999999996</v>
      </c>
      <c r="G19" s="47">
        <f t="shared" si="11"/>
        <v>314.15499999999997</v>
      </c>
      <c r="H19" s="53"/>
      <c r="I19" s="67"/>
      <c r="J19" s="49"/>
      <c r="K19" s="50"/>
      <c r="L19" s="39">
        <f t="shared" si="0"/>
        <v>0</v>
      </c>
      <c r="M19" s="40">
        <f t="shared" si="1"/>
        <v>0</v>
      </c>
      <c r="N19" s="41">
        <f t="shared" si="2"/>
        <v>0</v>
      </c>
      <c r="O19" s="42"/>
    </row>
    <row r="20" spans="1:15" x14ac:dyDescent="0.35">
      <c r="A20" s="43">
        <v>6655</v>
      </c>
      <c r="B20" s="44" t="s">
        <v>54</v>
      </c>
      <c r="C20" s="45" t="s">
        <v>26</v>
      </c>
      <c r="D20" s="46">
        <v>115410.67</v>
      </c>
      <c r="E20" s="51">
        <f t="shared" si="9"/>
        <v>46164.268000000004</v>
      </c>
      <c r="F20" s="47">
        <f t="shared" si="10"/>
        <v>11541.067000000001</v>
      </c>
      <c r="G20" s="47">
        <f t="shared" si="11"/>
        <v>57705.334999999999</v>
      </c>
      <c r="H20" s="53"/>
      <c r="I20" s="67"/>
      <c r="J20" s="49"/>
      <c r="K20" s="50"/>
      <c r="L20" s="39">
        <f t="shared" si="0"/>
        <v>0</v>
      </c>
      <c r="M20" s="40">
        <f t="shared" si="1"/>
        <v>0</v>
      </c>
      <c r="N20" s="41">
        <f t="shared" si="2"/>
        <v>0</v>
      </c>
      <c r="O20" s="42"/>
    </row>
    <row r="21" spans="1:15" x14ac:dyDescent="0.35">
      <c r="A21" s="43">
        <v>6661</v>
      </c>
      <c r="B21" s="44" t="s">
        <v>73</v>
      </c>
      <c r="C21" s="45" t="s">
        <v>28</v>
      </c>
      <c r="D21" s="46">
        <v>9823.91</v>
      </c>
      <c r="E21" s="51">
        <f t="shared" si="9"/>
        <v>3929.5640000000003</v>
      </c>
      <c r="F21" s="47">
        <f t="shared" si="10"/>
        <v>982.39100000000008</v>
      </c>
      <c r="G21" s="47">
        <f t="shared" si="11"/>
        <v>4911.9549999999999</v>
      </c>
      <c r="H21" s="53"/>
      <c r="I21" s="67"/>
      <c r="J21" s="49"/>
      <c r="K21" s="50"/>
      <c r="L21" s="39">
        <f t="shared" si="0"/>
        <v>0</v>
      </c>
      <c r="M21" s="40">
        <f t="shared" si="1"/>
        <v>0</v>
      </c>
      <c r="N21" s="41">
        <f t="shared" si="2"/>
        <v>0</v>
      </c>
      <c r="O21" s="42"/>
    </row>
    <row r="22" spans="1:15" x14ac:dyDescent="0.35">
      <c r="A22" s="43">
        <v>6691</v>
      </c>
      <c r="B22" s="44" t="s">
        <v>44</v>
      </c>
      <c r="C22" s="45" t="s">
        <v>28</v>
      </c>
      <c r="D22" s="46">
        <v>285281.57</v>
      </c>
      <c r="E22" s="51">
        <f t="shared" si="9"/>
        <v>114112.62800000001</v>
      </c>
      <c r="F22" s="47">
        <f t="shared" si="10"/>
        <v>28528.157000000003</v>
      </c>
      <c r="G22" s="47">
        <f t="shared" si="11"/>
        <v>142640.785</v>
      </c>
      <c r="H22" s="53"/>
      <c r="I22" s="67"/>
      <c r="J22" s="49"/>
      <c r="K22" s="50"/>
      <c r="L22" s="39">
        <f t="shared" si="0"/>
        <v>0</v>
      </c>
      <c r="M22" s="40">
        <f t="shared" si="1"/>
        <v>0</v>
      </c>
      <c r="N22" s="41">
        <f t="shared" si="2"/>
        <v>0</v>
      </c>
      <c r="O22" s="42"/>
    </row>
    <row r="23" spans="1:15" x14ac:dyDescent="0.35">
      <c r="A23" s="43">
        <v>6710</v>
      </c>
      <c r="B23" s="44" t="s">
        <v>37</v>
      </c>
      <c r="C23" s="45" t="s">
        <v>28</v>
      </c>
      <c r="D23" s="46">
        <v>1364722.72</v>
      </c>
      <c r="E23" s="51">
        <v>0</v>
      </c>
      <c r="F23" s="51">
        <v>0</v>
      </c>
      <c r="G23" s="52">
        <f>D23</f>
        <v>1364722.72</v>
      </c>
      <c r="H23" s="53" t="s">
        <v>14</v>
      </c>
      <c r="I23" s="67"/>
      <c r="J23" s="49"/>
      <c r="K23" s="50"/>
      <c r="L23" s="39">
        <f>K23*0</f>
        <v>0</v>
      </c>
      <c r="M23" s="40">
        <f>K23*0</f>
        <v>0</v>
      </c>
      <c r="N23" s="41">
        <f>K23*1</f>
        <v>0</v>
      </c>
      <c r="O23" s="42"/>
    </row>
    <row r="24" spans="1:15" x14ac:dyDescent="0.35">
      <c r="A24" s="43">
        <v>6747</v>
      </c>
      <c r="B24" s="44" t="s">
        <v>97</v>
      </c>
      <c r="C24" s="45" t="s">
        <v>28</v>
      </c>
      <c r="D24" s="46">
        <v>217.11</v>
      </c>
      <c r="E24" s="51">
        <f t="shared" ref="E24:E27" si="12">D24*0.4</f>
        <v>86.844000000000008</v>
      </c>
      <c r="F24" s="47">
        <f t="shared" ref="F24:F27" si="13">D24*0.1</f>
        <v>21.711000000000002</v>
      </c>
      <c r="G24" s="47">
        <f t="shared" ref="G24:G27" si="14">D24*0.5</f>
        <v>108.55500000000001</v>
      </c>
      <c r="H24" s="53"/>
      <c r="I24" s="67"/>
      <c r="J24" s="49"/>
      <c r="K24" s="50"/>
      <c r="L24" s="39">
        <f t="shared" si="0"/>
        <v>0</v>
      </c>
      <c r="M24" s="40">
        <f t="shared" si="1"/>
        <v>0</v>
      </c>
      <c r="N24" s="41">
        <f t="shared" si="2"/>
        <v>0</v>
      </c>
      <c r="O24" s="42"/>
    </row>
    <row r="25" spans="1:15" x14ac:dyDescent="0.35">
      <c r="A25" s="43">
        <v>6764</v>
      </c>
      <c r="B25" s="44" t="s">
        <v>30</v>
      </c>
      <c r="C25" s="45" t="s">
        <v>28</v>
      </c>
      <c r="D25" s="46">
        <v>2179337.56</v>
      </c>
      <c r="E25" s="51">
        <f t="shared" si="12"/>
        <v>871735.02400000009</v>
      </c>
      <c r="F25" s="47">
        <f t="shared" si="13"/>
        <v>217933.75600000002</v>
      </c>
      <c r="G25" s="47">
        <f t="shared" si="14"/>
        <v>1089668.78</v>
      </c>
      <c r="H25" s="53"/>
      <c r="I25" s="67"/>
      <c r="J25" s="49"/>
      <c r="K25" s="50"/>
      <c r="L25" s="39">
        <f t="shared" si="0"/>
        <v>0</v>
      </c>
      <c r="M25" s="40">
        <f t="shared" si="1"/>
        <v>0</v>
      </c>
      <c r="N25" s="41">
        <f t="shared" si="2"/>
        <v>0</v>
      </c>
      <c r="O25" s="42"/>
    </row>
    <row r="26" spans="1:15" x14ac:dyDescent="0.35">
      <c r="A26" s="43">
        <v>6804</v>
      </c>
      <c r="B26" s="44" t="s">
        <v>101</v>
      </c>
      <c r="C26" s="45" t="s">
        <v>26</v>
      </c>
      <c r="D26" s="46">
        <v>42</v>
      </c>
      <c r="E26" s="51">
        <f t="shared" si="12"/>
        <v>16.8</v>
      </c>
      <c r="F26" s="47">
        <f t="shared" si="13"/>
        <v>4.2</v>
      </c>
      <c r="G26" s="47">
        <f t="shared" si="14"/>
        <v>21</v>
      </c>
      <c r="H26" s="53"/>
      <c r="I26" s="67"/>
      <c r="J26" s="49"/>
      <c r="K26" s="50"/>
      <c r="L26" s="39">
        <f t="shared" si="0"/>
        <v>0</v>
      </c>
      <c r="M26" s="40">
        <f t="shared" si="1"/>
        <v>0</v>
      </c>
      <c r="N26" s="41">
        <f t="shared" si="2"/>
        <v>0</v>
      </c>
      <c r="O26" s="42"/>
    </row>
    <row r="27" spans="1:15" x14ac:dyDescent="0.35">
      <c r="A27" s="43">
        <v>6817</v>
      </c>
      <c r="B27" s="44" t="s">
        <v>110</v>
      </c>
      <c r="C27" s="45" t="s">
        <v>28</v>
      </c>
      <c r="D27" s="46">
        <v>122634.28</v>
      </c>
      <c r="E27" s="51">
        <f t="shared" si="12"/>
        <v>49053.712</v>
      </c>
      <c r="F27" s="47">
        <f t="shared" si="13"/>
        <v>12263.428</v>
      </c>
      <c r="G27" s="47">
        <f t="shared" si="14"/>
        <v>61317.14</v>
      </c>
      <c r="H27" s="53"/>
      <c r="I27" s="67"/>
      <c r="J27" s="49"/>
      <c r="K27" s="50"/>
      <c r="L27" s="39">
        <f t="shared" si="0"/>
        <v>0</v>
      </c>
      <c r="M27" s="40">
        <f t="shared" si="1"/>
        <v>0</v>
      </c>
      <c r="N27" s="41">
        <f t="shared" si="2"/>
        <v>0</v>
      </c>
      <c r="O27" s="42"/>
    </row>
    <row r="28" spans="1:15" x14ac:dyDescent="0.35">
      <c r="A28" s="43">
        <v>6833</v>
      </c>
      <c r="B28" s="44" t="s">
        <v>61</v>
      </c>
      <c r="C28" s="45" t="s">
        <v>28</v>
      </c>
      <c r="D28" s="46">
        <v>165798.82</v>
      </c>
      <c r="E28" s="51">
        <f>D28*0.1</f>
        <v>16579.882000000001</v>
      </c>
      <c r="F28" s="51">
        <v>0</v>
      </c>
      <c r="G28" s="52">
        <f>D28*0.9</f>
        <v>149218.93800000002</v>
      </c>
      <c r="H28" s="53" t="s">
        <v>41</v>
      </c>
      <c r="I28" s="67"/>
      <c r="J28" s="49"/>
      <c r="K28" s="50"/>
      <c r="L28" s="39">
        <f>K28*0.1</f>
        <v>0</v>
      </c>
      <c r="M28" s="40">
        <f>K28*0</f>
        <v>0</v>
      </c>
      <c r="N28" s="41">
        <f>K28*0.9</f>
        <v>0</v>
      </c>
      <c r="O28" s="42"/>
    </row>
    <row r="29" spans="1:15" x14ac:dyDescent="0.35">
      <c r="A29" s="43">
        <v>6841</v>
      </c>
      <c r="B29" s="44" t="s">
        <v>105</v>
      </c>
      <c r="C29" s="45" t="s">
        <v>26</v>
      </c>
      <c r="D29" s="46">
        <v>2</v>
      </c>
      <c r="E29" s="51">
        <f>D29*0.4</f>
        <v>0.8</v>
      </c>
      <c r="F29" s="47">
        <f>D29*0.1</f>
        <v>0.2</v>
      </c>
      <c r="G29" s="47">
        <f>D29*0.5</f>
        <v>1</v>
      </c>
      <c r="H29" s="53"/>
      <c r="I29" s="67"/>
      <c r="J29" s="49"/>
      <c r="K29" s="50"/>
      <c r="L29" s="39">
        <f t="shared" si="0"/>
        <v>0</v>
      </c>
      <c r="M29" s="40">
        <f t="shared" si="1"/>
        <v>0</v>
      </c>
      <c r="N29" s="41">
        <f t="shared" si="2"/>
        <v>0</v>
      </c>
      <c r="O29" s="42"/>
    </row>
    <row r="30" spans="1:15" x14ac:dyDescent="0.35">
      <c r="A30" s="43">
        <v>6860</v>
      </c>
      <c r="B30" s="44" t="s">
        <v>111</v>
      </c>
      <c r="C30" s="45" t="s">
        <v>28</v>
      </c>
      <c r="D30" s="46">
        <v>172716.31</v>
      </c>
      <c r="E30" s="51">
        <v>0</v>
      </c>
      <c r="F30" s="51">
        <v>0</v>
      </c>
      <c r="G30" s="52">
        <f>D30</f>
        <v>172716.31</v>
      </c>
      <c r="H30" s="53" t="s">
        <v>14</v>
      </c>
      <c r="I30" s="67"/>
      <c r="J30" s="49"/>
      <c r="K30" s="50"/>
      <c r="L30" s="39">
        <f>K30*0</f>
        <v>0</v>
      </c>
      <c r="M30" s="40">
        <f>K30*0</f>
        <v>0</v>
      </c>
      <c r="N30" s="41">
        <f>K30*1</f>
        <v>0</v>
      </c>
      <c r="O30" s="42"/>
    </row>
    <row r="31" spans="1:15" x14ac:dyDescent="0.35">
      <c r="A31" s="43">
        <v>6866</v>
      </c>
      <c r="B31" s="44" t="s">
        <v>95</v>
      </c>
      <c r="C31" s="45" t="s">
        <v>28</v>
      </c>
      <c r="D31" s="46">
        <v>276.14</v>
      </c>
      <c r="E31" s="51">
        <f t="shared" ref="E31:E35" si="15">D31*0.4</f>
        <v>110.456</v>
      </c>
      <c r="F31" s="47">
        <f t="shared" ref="F31:F35" si="16">D31*0.1</f>
        <v>27.614000000000001</v>
      </c>
      <c r="G31" s="47">
        <f t="shared" ref="G31:G35" si="17">D31*0.5</f>
        <v>138.07</v>
      </c>
      <c r="H31" s="53"/>
      <c r="I31" s="67"/>
      <c r="J31" s="49"/>
      <c r="K31" s="50"/>
      <c r="L31" s="39">
        <f t="shared" si="0"/>
        <v>0</v>
      </c>
      <c r="M31" s="40">
        <f t="shared" si="1"/>
        <v>0</v>
      </c>
      <c r="N31" s="41">
        <f t="shared" si="2"/>
        <v>0</v>
      </c>
      <c r="O31" s="42"/>
    </row>
    <row r="32" spans="1:15" x14ac:dyDescent="0.35">
      <c r="A32" s="43">
        <v>6899</v>
      </c>
      <c r="B32" s="44" t="s">
        <v>108</v>
      </c>
      <c r="C32" s="45" t="s">
        <v>28</v>
      </c>
      <c r="D32" s="46">
        <v>18</v>
      </c>
      <c r="E32" s="51">
        <f t="shared" si="15"/>
        <v>7.2</v>
      </c>
      <c r="F32" s="47">
        <f t="shared" si="16"/>
        <v>1.8</v>
      </c>
      <c r="G32" s="47">
        <f t="shared" si="17"/>
        <v>9</v>
      </c>
      <c r="H32" s="53"/>
      <c r="I32" s="67"/>
      <c r="J32" s="49"/>
      <c r="K32" s="50"/>
      <c r="L32" s="39">
        <f t="shared" si="0"/>
        <v>0</v>
      </c>
      <c r="M32" s="40">
        <f t="shared" si="1"/>
        <v>0</v>
      </c>
      <c r="N32" s="41">
        <f t="shared" si="2"/>
        <v>0</v>
      </c>
      <c r="O32" s="42"/>
    </row>
    <row r="33" spans="1:15" x14ac:dyDescent="0.35">
      <c r="A33" s="43">
        <v>6901</v>
      </c>
      <c r="B33" s="44" t="s">
        <v>112</v>
      </c>
      <c r="C33" s="45" t="s">
        <v>28</v>
      </c>
      <c r="D33" s="46">
        <v>109113.53</v>
      </c>
      <c r="E33" s="51">
        <f t="shared" si="15"/>
        <v>43645.412000000004</v>
      </c>
      <c r="F33" s="47">
        <f t="shared" si="16"/>
        <v>10911.353000000001</v>
      </c>
      <c r="G33" s="47">
        <f t="shared" si="17"/>
        <v>54556.764999999999</v>
      </c>
      <c r="H33" s="53"/>
      <c r="I33" s="67"/>
      <c r="J33" s="49"/>
      <c r="K33" s="50"/>
      <c r="L33" s="39">
        <f t="shared" si="0"/>
        <v>0</v>
      </c>
      <c r="M33" s="40">
        <f t="shared" si="1"/>
        <v>0</v>
      </c>
      <c r="N33" s="41">
        <f t="shared" si="2"/>
        <v>0</v>
      </c>
      <c r="O33" s="42"/>
    </row>
    <row r="34" spans="1:15" x14ac:dyDescent="0.35">
      <c r="A34" s="43">
        <v>7049</v>
      </c>
      <c r="B34" s="44" t="s">
        <v>47</v>
      </c>
      <c r="C34" s="45" t="s">
        <v>28</v>
      </c>
      <c r="D34" s="46">
        <v>297214.53000000003</v>
      </c>
      <c r="E34" s="51">
        <f t="shared" si="15"/>
        <v>118885.81200000002</v>
      </c>
      <c r="F34" s="47">
        <f t="shared" si="16"/>
        <v>29721.453000000005</v>
      </c>
      <c r="G34" s="47">
        <f t="shared" si="17"/>
        <v>148607.26500000001</v>
      </c>
      <c r="H34" s="53"/>
      <c r="I34" s="67"/>
      <c r="J34" s="49"/>
      <c r="K34" s="50"/>
      <c r="L34" s="39">
        <f t="shared" si="0"/>
        <v>0</v>
      </c>
      <c r="M34" s="40">
        <f t="shared" si="1"/>
        <v>0</v>
      </c>
      <c r="N34" s="41">
        <f t="shared" si="2"/>
        <v>0</v>
      </c>
      <c r="O34" s="42"/>
    </row>
    <row r="35" spans="1:15" x14ac:dyDescent="0.35">
      <c r="A35" s="43">
        <v>7085</v>
      </c>
      <c r="B35" s="44" t="s">
        <v>74</v>
      </c>
      <c r="C35" s="45" t="s">
        <v>28</v>
      </c>
      <c r="D35" s="46">
        <v>56485.23</v>
      </c>
      <c r="E35" s="51">
        <f t="shared" si="15"/>
        <v>22594.092000000004</v>
      </c>
      <c r="F35" s="47">
        <f t="shared" si="16"/>
        <v>5648.523000000001</v>
      </c>
      <c r="G35" s="47">
        <f t="shared" si="17"/>
        <v>28242.615000000002</v>
      </c>
      <c r="H35" s="53"/>
      <c r="I35" s="67"/>
      <c r="J35" s="49"/>
      <c r="K35" s="50"/>
      <c r="L35" s="39">
        <f t="shared" si="0"/>
        <v>0</v>
      </c>
      <c r="M35" s="40">
        <f t="shared" si="1"/>
        <v>0</v>
      </c>
      <c r="N35" s="41">
        <f t="shared" si="2"/>
        <v>0</v>
      </c>
      <c r="O35" s="42"/>
    </row>
    <row r="36" spans="1:15" x14ac:dyDescent="0.35">
      <c r="A36" s="43">
        <v>7100</v>
      </c>
      <c r="B36" s="44" t="s">
        <v>81</v>
      </c>
      <c r="C36" s="45" t="s">
        <v>28</v>
      </c>
      <c r="D36" s="46">
        <v>20351.169999999998</v>
      </c>
      <c r="E36" s="51">
        <f>D36*0.1</f>
        <v>2035.117</v>
      </c>
      <c r="F36" s="51">
        <v>0</v>
      </c>
      <c r="G36" s="52">
        <f>D36*0.9</f>
        <v>18316.053</v>
      </c>
      <c r="H36" s="53" t="s">
        <v>41</v>
      </c>
      <c r="I36" s="67"/>
      <c r="J36" s="49"/>
      <c r="K36" s="50"/>
      <c r="L36" s="39">
        <f>K36*0.1</f>
        <v>0</v>
      </c>
      <c r="M36" s="40">
        <f>K36*0</f>
        <v>0</v>
      </c>
      <c r="N36" s="41">
        <f>K36*0.9</f>
        <v>0</v>
      </c>
      <c r="O36" s="42"/>
    </row>
    <row r="37" spans="1:15" x14ac:dyDescent="0.35">
      <c r="A37" s="43">
        <v>7122</v>
      </c>
      <c r="B37" s="44" t="s">
        <v>48</v>
      </c>
      <c r="C37" s="45" t="s">
        <v>28</v>
      </c>
      <c r="D37" s="46">
        <v>381332.57</v>
      </c>
      <c r="E37" s="51">
        <f t="shared" ref="E37:E39" si="18">D37*0.4</f>
        <v>152533.02800000002</v>
      </c>
      <c r="F37" s="47">
        <f t="shared" ref="F37:F39" si="19">D37*0.1</f>
        <v>38133.257000000005</v>
      </c>
      <c r="G37" s="47">
        <f t="shared" ref="G37:G39" si="20">D37*0.5</f>
        <v>190666.285</v>
      </c>
      <c r="H37" s="53"/>
      <c r="I37" s="67"/>
      <c r="J37" s="49"/>
      <c r="K37" s="50"/>
      <c r="L37" s="39">
        <f t="shared" si="0"/>
        <v>0</v>
      </c>
      <c r="M37" s="40">
        <f t="shared" si="1"/>
        <v>0</v>
      </c>
      <c r="N37" s="41">
        <f t="shared" si="2"/>
        <v>0</v>
      </c>
      <c r="O37" s="42"/>
    </row>
    <row r="38" spans="1:15" x14ac:dyDescent="0.35">
      <c r="A38" s="43">
        <v>7154</v>
      </c>
      <c r="B38" s="44" t="s">
        <v>51</v>
      </c>
      <c r="C38" s="45" t="s">
        <v>28</v>
      </c>
      <c r="D38" s="46">
        <v>179084.5</v>
      </c>
      <c r="E38" s="51">
        <f t="shared" si="18"/>
        <v>71633.8</v>
      </c>
      <c r="F38" s="47">
        <f t="shared" si="19"/>
        <v>17908.45</v>
      </c>
      <c r="G38" s="47">
        <f t="shared" si="20"/>
        <v>89542.25</v>
      </c>
      <c r="H38" s="53"/>
      <c r="I38" s="67"/>
      <c r="J38" s="49"/>
      <c r="K38" s="50"/>
      <c r="L38" s="39">
        <f t="shared" si="0"/>
        <v>0</v>
      </c>
      <c r="M38" s="40">
        <f t="shared" si="1"/>
        <v>0</v>
      </c>
      <c r="N38" s="41">
        <f t="shared" si="2"/>
        <v>0</v>
      </c>
      <c r="O38" s="42"/>
    </row>
    <row r="39" spans="1:15" x14ac:dyDescent="0.35">
      <c r="A39" s="43">
        <v>7168</v>
      </c>
      <c r="B39" s="44" t="s">
        <v>79</v>
      </c>
      <c r="C39" s="45" t="s">
        <v>28</v>
      </c>
      <c r="D39" s="46">
        <v>24941.47</v>
      </c>
      <c r="E39" s="51">
        <f t="shared" si="18"/>
        <v>9976.5880000000016</v>
      </c>
      <c r="F39" s="47">
        <f t="shared" si="19"/>
        <v>2494.1470000000004</v>
      </c>
      <c r="G39" s="47">
        <f t="shared" si="20"/>
        <v>12470.735000000001</v>
      </c>
      <c r="H39" s="53"/>
      <c r="I39" s="67"/>
      <c r="J39" s="49"/>
      <c r="K39" s="50"/>
      <c r="L39" s="39">
        <f t="shared" si="0"/>
        <v>0</v>
      </c>
      <c r="M39" s="40">
        <f t="shared" si="1"/>
        <v>0</v>
      </c>
      <c r="N39" s="41">
        <f t="shared" si="2"/>
        <v>0</v>
      </c>
      <c r="O39" s="42"/>
    </row>
    <row r="40" spans="1:15" x14ac:dyDescent="0.35">
      <c r="A40" s="43">
        <v>7335</v>
      </c>
      <c r="B40" s="44" t="s">
        <v>75</v>
      </c>
      <c r="C40" s="45" t="s">
        <v>28</v>
      </c>
      <c r="D40" s="46">
        <v>299486.28000000003</v>
      </c>
      <c r="E40" s="51">
        <f>D40*0.1</f>
        <v>29948.628000000004</v>
      </c>
      <c r="F40" s="51">
        <v>0</v>
      </c>
      <c r="G40" s="52">
        <f>D40*0.9</f>
        <v>269537.65200000006</v>
      </c>
      <c r="H40" s="53" t="s">
        <v>41</v>
      </c>
      <c r="I40" s="67"/>
      <c r="J40" s="49"/>
      <c r="K40" s="50"/>
      <c r="L40" s="39">
        <f>K40*0.1</f>
        <v>0</v>
      </c>
      <c r="M40" s="40">
        <f>K40*0</f>
        <v>0</v>
      </c>
      <c r="N40" s="41">
        <f>K40*0.9</f>
        <v>0</v>
      </c>
      <c r="O40" s="42"/>
    </row>
    <row r="41" spans="1:15" x14ac:dyDescent="0.35">
      <c r="A41" s="43">
        <v>7379</v>
      </c>
      <c r="B41" s="44" t="s">
        <v>57</v>
      </c>
      <c r="C41" s="45" t="s">
        <v>28</v>
      </c>
      <c r="D41" s="46">
        <v>178332.12</v>
      </c>
      <c r="E41" s="51">
        <f>D41*0.4</f>
        <v>71332.847999999998</v>
      </c>
      <c r="F41" s="47">
        <f>D41*0.1</f>
        <v>17833.212</v>
      </c>
      <c r="G41" s="47">
        <f>D41*0.5</f>
        <v>89166.06</v>
      </c>
      <c r="H41" s="53"/>
      <c r="I41" s="67"/>
      <c r="J41" s="49"/>
      <c r="K41" s="50"/>
      <c r="L41" s="39">
        <f t="shared" si="0"/>
        <v>0</v>
      </c>
      <c r="M41" s="40">
        <f t="shared" si="1"/>
        <v>0</v>
      </c>
      <c r="N41" s="41">
        <f t="shared" si="2"/>
        <v>0</v>
      </c>
      <c r="O41" s="42"/>
    </row>
    <row r="42" spans="1:15" x14ac:dyDescent="0.35">
      <c r="A42" s="43">
        <v>7500</v>
      </c>
      <c r="B42" s="44" t="s">
        <v>70</v>
      </c>
      <c r="C42" s="45" t="s">
        <v>28</v>
      </c>
      <c r="D42" s="46">
        <v>73230.2</v>
      </c>
      <c r="E42" s="51">
        <f>D42*0.1</f>
        <v>7323.02</v>
      </c>
      <c r="F42" s="51">
        <v>0</v>
      </c>
      <c r="G42" s="52">
        <f>D42*0.9</f>
        <v>65907.179999999993</v>
      </c>
      <c r="H42" s="53" t="s">
        <v>41</v>
      </c>
      <c r="I42" s="67"/>
      <c r="J42" s="49"/>
      <c r="K42" s="50"/>
      <c r="L42" s="39">
        <f>K42*0.1</f>
        <v>0</v>
      </c>
      <c r="M42" s="40">
        <f>K42*0</f>
        <v>0</v>
      </c>
      <c r="N42" s="41">
        <f>K42*0.9</f>
        <v>0</v>
      </c>
      <c r="O42" s="42"/>
    </row>
    <row r="43" spans="1:15" x14ac:dyDescent="0.35">
      <c r="A43" s="43">
        <v>7514</v>
      </c>
      <c r="B43" s="44" t="s">
        <v>104</v>
      </c>
      <c r="C43" s="45" t="s">
        <v>28</v>
      </c>
      <c r="D43" s="46">
        <v>38100.04</v>
      </c>
      <c r="E43" s="51">
        <f t="shared" ref="E43:E58" si="21">D43*0.4</f>
        <v>15240.016000000001</v>
      </c>
      <c r="F43" s="47">
        <f t="shared" ref="F43:F58" si="22">D43*0.1</f>
        <v>3810.0040000000004</v>
      </c>
      <c r="G43" s="47">
        <f t="shared" ref="G43:G58" si="23">D43*0.5</f>
        <v>19050.02</v>
      </c>
      <c r="H43" s="53"/>
      <c r="I43" s="67"/>
      <c r="J43" s="49"/>
      <c r="K43" s="50"/>
      <c r="L43" s="39">
        <f t="shared" si="0"/>
        <v>0</v>
      </c>
      <c r="M43" s="40">
        <f t="shared" si="1"/>
        <v>0</v>
      </c>
      <c r="N43" s="41">
        <f t="shared" si="2"/>
        <v>0</v>
      </c>
      <c r="O43" s="42"/>
    </row>
    <row r="44" spans="1:15" x14ac:dyDescent="0.35">
      <c r="A44" s="43">
        <v>7544</v>
      </c>
      <c r="B44" s="44" t="s">
        <v>93</v>
      </c>
      <c r="C44" s="45" t="s">
        <v>26</v>
      </c>
      <c r="D44" s="46">
        <v>15</v>
      </c>
      <c r="E44" s="51">
        <f t="shared" si="21"/>
        <v>6</v>
      </c>
      <c r="F44" s="47">
        <f t="shared" si="22"/>
        <v>1.5</v>
      </c>
      <c r="G44" s="47">
        <f t="shared" si="23"/>
        <v>7.5</v>
      </c>
      <c r="H44" s="53"/>
      <c r="I44" s="67"/>
      <c r="J44" s="49"/>
      <c r="K44" s="50"/>
      <c r="L44" s="39">
        <f t="shared" si="0"/>
        <v>0</v>
      </c>
      <c r="M44" s="40">
        <f t="shared" si="1"/>
        <v>0</v>
      </c>
      <c r="N44" s="41">
        <f t="shared" si="2"/>
        <v>0</v>
      </c>
      <c r="O44" s="42"/>
    </row>
    <row r="45" spans="1:15" x14ac:dyDescent="0.35">
      <c r="A45" s="43">
        <v>7556</v>
      </c>
      <c r="B45" s="44" t="s">
        <v>65</v>
      </c>
      <c r="C45" s="45" t="s">
        <v>28</v>
      </c>
      <c r="D45" s="46">
        <v>25051.52</v>
      </c>
      <c r="E45" s="51">
        <f t="shared" si="21"/>
        <v>10020.608</v>
      </c>
      <c r="F45" s="47">
        <f t="shared" si="22"/>
        <v>2505.152</v>
      </c>
      <c r="G45" s="47">
        <f t="shared" si="23"/>
        <v>12525.76</v>
      </c>
      <c r="H45" s="53"/>
      <c r="I45" s="67"/>
      <c r="J45" s="49"/>
      <c r="K45" s="50"/>
      <c r="L45" s="39">
        <f t="shared" si="0"/>
        <v>0</v>
      </c>
      <c r="M45" s="40">
        <f t="shared" si="1"/>
        <v>0</v>
      </c>
      <c r="N45" s="41">
        <f t="shared" si="2"/>
        <v>0</v>
      </c>
      <c r="O45" s="42"/>
    </row>
    <row r="46" spans="1:15" x14ac:dyDescent="0.35">
      <c r="A46" s="43">
        <v>7564</v>
      </c>
      <c r="B46" s="44" t="s">
        <v>31</v>
      </c>
      <c r="C46" s="45" t="s">
        <v>28</v>
      </c>
      <c r="D46" s="46">
        <v>2598948.83</v>
      </c>
      <c r="E46" s="51">
        <f t="shared" si="21"/>
        <v>1039579.5320000001</v>
      </c>
      <c r="F46" s="47">
        <f t="shared" si="22"/>
        <v>259894.88300000003</v>
      </c>
      <c r="G46" s="47">
        <f t="shared" si="23"/>
        <v>1299474.415</v>
      </c>
      <c r="H46" s="53"/>
      <c r="I46" s="67"/>
      <c r="J46" s="49"/>
      <c r="K46" s="50"/>
      <c r="L46" s="39">
        <f t="shared" si="0"/>
        <v>0</v>
      </c>
      <c r="M46" s="40">
        <f t="shared" si="1"/>
        <v>0</v>
      </c>
      <c r="N46" s="41">
        <f t="shared" si="2"/>
        <v>0</v>
      </c>
      <c r="O46" s="42"/>
    </row>
    <row r="47" spans="1:15" x14ac:dyDescent="0.35">
      <c r="A47" s="43">
        <v>7566</v>
      </c>
      <c r="B47" s="44" t="s">
        <v>92</v>
      </c>
      <c r="C47" s="45" t="s">
        <v>28</v>
      </c>
      <c r="D47" s="46">
        <v>9477.74</v>
      </c>
      <c r="E47" s="51">
        <f t="shared" si="21"/>
        <v>3791.096</v>
      </c>
      <c r="F47" s="47">
        <f t="shared" si="22"/>
        <v>947.774</v>
      </c>
      <c r="G47" s="47">
        <f t="shared" si="23"/>
        <v>4738.87</v>
      </c>
      <c r="H47" s="53"/>
      <c r="I47" s="67"/>
      <c r="J47" s="49"/>
      <c r="K47" s="50"/>
      <c r="L47" s="39">
        <f t="shared" si="0"/>
        <v>0</v>
      </c>
      <c r="M47" s="40">
        <f t="shared" si="1"/>
        <v>0</v>
      </c>
      <c r="N47" s="41">
        <f t="shared" si="2"/>
        <v>0</v>
      </c>
      <c r="O47" s="42"/>
    </row>
    <row r="48" spans="1:15" x14ac:dyDescent="0.35">
      <c r="A48" s="43">
        <v>7633</v>
      </c>
      <c r="B48" s="44" t="s">
        <v>20</v>
      </c>
      <c r="C48" s="45" t="s">
        <v>28</v>
      </c>
      <c r="D48" s="46">
        <v>10502.25</v>
      </c>
      <c r="E48" s="51">
        <f t="shared" si="21"/>
        <v>4200.9000000000005</v>
      </c>
      <c r="F48" s="47">
        <f t="shared" si="22"/>
        <v>1050.2250000000001</v>
      </c>
      <c r="G48" s="47">
        <f t="shared" si="23"/>
        <v>5251.125</v>
      </c>
      <c r="H48" s="53"/>
      <c r="I48" s="67"/>
      <c r="J48" s="49"/>
      <c r="K48" s="50"/>
      <c r="L48" s="39">
        <f t="shared" si="0"/>
        <v>0</v>
      </c>
      <c r="M48" s="40">
        <f t="shared" si="1"/>
        <v>0</v>
      </c>
      <c r="N48" s="41">
        <f t="shared" si="2"/>
        <v>0</v>
      </c>
      <c r="O48" s="42"/>
    </row>
    <row r="49" spans="1:15" x14ac:dyDescent="0.35">
      <c r="A49" s="43">
        <v>7644</v>
      </c>
      <c r="B49" s="44" t="s">
        <v>55</v>
      </c>
      <c r="C49" s="45" t="s">
        <v>28</v>
      </c>
      <c r="D49" s="46">
        <v>156829.37</v>
      </c>
      <c r="E49" s="51">
        <f t="shared" si="21"/>
        <v>62731.748</v>
      </c>
      <c r="F49" s="47">
        <f t="shared" si="22"/>
        <v>15682.937</v>
      </c>
      <c r="G49" s="47">
        <f t="shared" si="23"/>
        <v>78414.684999999998</v>
      </c>
      <c r="H49" s="53"/>
      <c r="I49" s="67"/>
      <c r="J49" s="49"/>
      <c r="K49" s="50"/>
      <c r="L49" s="39">
        <f t="shared" si="0"/>
        <v>0</v>
      </c>
      <c r="M49" s="40">
        <f t="shared" si="1"/>
        <v>0</v>
      </c>
      <c r="N49" s="41">
        <f t="shared" si="2"/>
        <v>0</v>
      </c>
      <c r="O49" s="42"/>
    </row>
    <row r="50" spans="1:15" x14ac:dyDescent="0.35">
      <c r="A50" s="43">
        <v>7717</v>
      </c>
      <c r="B50" s="44" t="s">
        <v>78</v>
      </c>
      <c r="C50" s="45" t="s">
        <v>28</v>
      </c>
      <c r="D50" s="46">
        <v>9597.7999999999993</v>
      </c>
      <c r="E50" s="51">
        <f t="shared" si="21"/>
        <v>3839.12</v>
      </c>
      <c r="F50" s="47">
        <f t="shared" si="22"/>
        <v>959.78</v>
      </c>
      <c r="G50" s="47">
        <f t="shared" si="23"/>
        <v>4798.8999999999996</v>
      </c>
      <c r="H50" s="53"/>
      <c r="I50" s="67"/>
      <c r="J50" s="49"/>
      <c r="K50" s="50"/>
      <c r="L50" s="39">
        <f t="shared" si="0"/>
        <v>0</v>
      </c>
      <c r="M50" s="40">
        <f t="shared" si="1"/>
        <v>0</v>
      </c>
      <c r="N50" s="41">
        <f t="shared" si="2"/>
        <v>0</v>
      </c>
      <c r="O50" s="42"/>
    </row>
    <row r="51" spans="1:15" x14ac:dyDescent="0.35">
      <c r="A51" s="43">
        <v>7724</v>
      </c>
      <c r="B51" s="44" t="s">
        <v>72</v>
      </c>
      <c r="C51" s="45" t="s">
        <v>28</v>
      </c>
      <c r="D51" s="46">
        <v>31774.880000000001</v>
      </c>
      <c r="E51" s="51">
        <f t="shared" si="21"/>
        <v>12709.952000000001</v>
      </c>
      <c r="F51" s="47">
        <f t="shared" si="22"/>
        <v>3177.4880000000003</v>
      </c>
      <c r="G51" s="47">
        <f t="shared" si="23"/>
        <v>15887.44</v>
      </c>
      <c r="H51" s="53"/>
      <c r="I51" s="67"/>
      <c r="J51" s="49"/>
      <c r="K51" s="50"/>
      <c r="L51" s="39">
        <f t="shared" si="0"/>
        <v>0</v>
      </c>
      <c r="M51" s="40">
        <f t="shared" si="1"/>
        <v>0</v>
      </c>
      <c r="N51" s="41">
        <f t="shared" si="2"/>
        <v>0</v>
      </c>
      <c r="O51" s="42"/>
    </row>
    <row r="52" spans="1:15" x14ac:dyDescent="0.35">
      <c r="A52" s="43">
        <v>7886</v>
      </c>
      <c r="B52" s="44" t="s">
        <v>60</v>
      </c>
      <c r="C52" s="45" t="s">
        <v>28</v>
      </c>
      <c r="D52" s="46">
        <v>117663.81</v>
      </c>
      <c r="E52" s="51">
        <f t="shared" si="21"/>
        <v>47065.524000000005</v>
      </c>
      <c r="F52" s="47">
        <f t="shared" si="22"/>
        <v>11766.381000000001</v>
      </c>
      <c r="G52" s="47">
        <f t="shared" si="23"/>
        <v>58831.904999999999</v>
      </c>
      <c r="H52" s="53"/>
      <c r="I52" s="67"/>
      <c r="J52" s="49"/>
      <c r="K52" s="50"/>
      <c r="L52" s="39">
        <f t="shared" si="0"/>
        <v>0</v>
      </c>
      <c r="M52" s="40">
        <f t="shared" si="1"/>
        <v>0</v>
      </c>
      <c r="N52" s="41">
        <f t="shared" si="2"/>
        <v>0</v>
      </c>
      <c r="O52" s="42"/>
    </row>
    <row r="53" spans="1:15" x14ac:dyDescent="0.35">
      <c r="A53" s="43">
        <v>7930</v>
      </c>
      <c r="B53" s="44" t="s">
        <v>77</v>
      </c>
      <c r="C53" s="45" t="s">
        <v>28</v>
      </c>
      <c r="D53" s="46">
        <v>26415.21</v>
      </c>
      <c r="E53" s="51">
        <f t="shared" si="21"/>
        <v>10566.084000000001</v>
      </c>
      <c r="F53" s="47">
        <f t="shared" si="22"/>
        <v>2641.5210000000002</v>
      </c>
      <c r="G53" s="47">
        <f t="shared" si="23"/>
        <v>13207.605</v>
      </c>
      <c r="H53" s="53"/>
      <c r="I53" s="67"/>
      <c r="J53" s="49"/>
      <c r="K53" s="50"/>
      <c r="L53" s="39">
        <f t="shared" si="0"/>
        <v>0</v>
      </c>
      <c r="M53" s="40">
        <f t="shared" si="1"/>
        <v>0</v>
      </c>
      <c r="N53" s="41">
        <f t="shared" si="2"/>
        <v>0</v>
      </c>
      <c r="O53" s="42"/>
    </row>
    <row r="54" spans="1:15" x14ac:dyDescent="0.35">
      <c r="A54" s="43">
        <v>7957</v>
      </c>
      <c r="B54" s="44" t="s">
        <v>62</v>
      </c>
      <c r="C54" s="45" t="s">
        <v>28</v>
      </c>
      <c r="D54" s="46">
        <v>80049</v>
      </c>
      <c r="E54" s="51">
        <f t="shared" si="21"/>
        <v>32019.600000000002</v>
      </c>
      <c r="F54" s="47">
        <f t="shared" si="22"/>
        <v>8004.9000000000005</v>
      </c>
      <c r="G54" s="47">
        <f t="shared" si="23"/>
        <v>40024.5</v>
      </c>
      <c r="H54" s="53"/>
      <c r="I54" s="67"/>
      <c r="J54" s="49"/>
      <c r="K54" s="50"/>
      <c r="L54" s="39">
        <f t="shared" si="0"/>
        <v>0</v>
      </c>
      <c r="M54" s="40">
        <f t="shared" si="1"/>
        <v>0</v>
      </c>
      <c r="N54" s="41">
        <f t="shared" si="2"/>
        <v>0</v>
      </c>
      <c r="O54" s="42"/>
    </row>
    <row r="55" spans="1:15" x14ac:dyDescent="0.35">
      <c r="A55" s="43">
        <v>7969</v>
      </c>
      <c r="B55" s="44" t="s">
        <v>100</v>
      </c>
      <c r="C55" s="45" t="s">
        <v>26</v>
      </c>
      <c r="D55" s="46">
        <v>28</v>
      </c>
      <c r="E55" s="51">
        <f t="shared" si="21"/>
        <v>11.200000000000001</v>
      </c>
      <c r="F55" s="47">
        <f t="shared" si="22"/>
        <v>2.8000000000000003</v>
      </c>
      <c r="G55" s="47">
        <f t="shared" si="23"/>
        <v>14</v>
      </c>
      <c r="H55" s="53"/>
      <c r="I55" s="67"/>
      <c r="J55" s="49"/>
      <c r="K55" s="50"/>
      <c r="L55" s="39">
        <f t="shared" si="0"/>
        <v>0</v>
      </c>
      <c r="M55" s="40">
        <f t="shared" si="1"/>
        <v>0</v>
      </c>
      <c r="N55" s="41">
        <f t="shared" si="2"/>
        <v>0</v>
      </c>
      <c r="O55" s="42"/>
    </row>
    <row r="56" spans="1:15" x14ac:dyDescent="0.35">
      <c r="A56" s="43">
        <v>8018</v>
      </c>
      <c r="B56" s="44" t="s">
        <v>88</v>
      </c>
      <c r="C56" s="45" t="s">
        <v>26</v>
      </c>
      <c r="D56" s="46">
        <v>362.18</v>
      </c>
      <c r="E56" s="51">
        <f t="shared" si="21"/>
        <v>144.87200000000001</v>
      </c>
      <c r="F56" s="47">
        <f t="shared" si="22"/>
        <v>36.218000000000004</v>
      </c>
      <c r="G56" s="47">
        <f t="shared" si="23"/>
        <v>181.09</v>
      </c>
      <c r="H56" s="53"/>
      <c r="I56" s="67"/>
      <c r="J56" s="49"/>
      <c r="K56" s="50"/>
      <c r="L56" s="39">
        <f t="shared" si="0"/>
        <v>0</v>
      </c>
      <c r="M56" s="40">
        <f t="shared" si="1"/>
        <v>0</v>
      </c>
      <c r="N56" s="41">
        <f t="shared" si="2"/>
        <v>0</v>
      </c>
      <c r="O56" s="42"/>
    </row>
    <row r="57" spans="1:15" x14ac:dyDescent="0.35">
      <c r="A57" s="43">
        <v>8022</v>
      </c>
      <c r="B57" s="44" t="s">
        <v>90</v>
      </c>
      <c r="C57" s="45" t="s">
        <v>26</v>
      </c>
      <c r="D57" s="46">
        <v>922.46</v>
      </c>
      <c r="E57" s="51">
        <f t="shared" si="21"/>
        <v>368.98400000000004</v>
      </c>
      <c r="F57" s="47">
        <f t="shared" si="22"/>
        <v>92.246000000000009</v>
      </c>
      <c r="G57" s="47">
        <f t="shared" si="23"/>
        <v>461.23</v>
      </c>
      <c r="H57" s="53"/>
      <c r="I57" s="67"/>
      <c r="J57" s="49"/>
      <c r="K57" s="50"/>
      <c r="L57" s="39">
        <f t="shared" si="0"/>
        <v>0</v>
      </c>
      <c r="M57" s="40">
        <f t="shared" si="1"/>
        <v>0</v>
      </c>
      <c r="N57" s="41">
        <f t="shared" si="2"/>
        <v>0</v>
      </c>
      <c r="O57" s="42"/>
    </row>
    <row r="58" spans="1:15" x14ac:dyDescent="0.35">
      <c r="A58" s="43">
        <v>8101</v>
      </c>
      <c r="B58" s="44" t="s">
        <v>85</v>
      </c>
      <c r="C58" s="45" t="s">
        <v>26</v>
      </c>
      <c r="D58" s="46">
        <v>4202.1000000000004</v>
      </c>
      <c r="E58" s="51">
        <f t="shared" si="21"/>
        <v>1680.8400000000001</v>
      </c>
      <c r="F58" s="47">
        <f t="shared" si="22"/>
        <v>420.21000000000004</v>
      </c>
      <c r="G58" s="47">
        <f t="shared" si="23"/>
        <v>2101.0500000000002</v>
      </c>
      <c r="H58" s="53"/>
      <c r="I58" s="67"/>
      <c r="J58" s="49"/>
      <c r="K58" s="50"/>
      <c r="L58" s="39">
        <f t="shared" si="0"/>
        <v>0</v>
      </c>
      <c r="M58" s="40">
        <f t="shared" si="1"/>
        <v>0</v>
      </c>
      <c r="N58" s="41">
        <f t="shared" si="2"/>
        <v>0</v>
      </c>
      <c r="O58" s="42"/>
    </row>
    <row r="59" spans="1:15" x14ac:dyDescent="0.35">
      <c r="A59" s="43">
        <v>8161</v>
      </c>
      <c r="B59" s="44" t="s">
        <v>29</v>
      </c>
      <c r="C59" s="45" t="s">
        <v>28</v>
      </c>
      <c r="D59" s="46">
        <v>6111272.1500000004</v>
      </c>
      <c r="E59" s="51">
        <v>0</v>
      </c>
      <c r="F59" s="51">
        <v>0</v>
      </c>
      <c r="G59" s="52">
        <f>D59</f>
        <v>6111272.1500000004</v>
      </c>
      <c r="H59" s="53" t="s">
        <v>14</v>
      </c>
      <c r="I59" s="67"/>
      <c r="J59" s="49"/>
      <c r="K59" s="50"/>
      <c r="L59" s="39">
        <f>K59*0</f>
        <v>0</v>
      </c>
      <c r="M59" s="40">
        <f>K59*0</f>
        <v>0</v>
      </c>
      <c r="N59" s="41">
        <f>K59*1</f>
        <v>0</v>
      </c>
      <c r="O59" s="42"/>
    </row>
    <row r="60" spans="1:15" x14ac:dyDescent="0.35">
      <c r="A60" s="43">
        <v>8185</v>
      </c>
      <c r="B60" s="44" t="s">
        <v>71</v>
      </c>
      <c r="C60" s="45" t="s">
        <v>28</v>
      </c>
      <c r="D60" s="46">
        <v>62999.48</v>
      </c>
      <c r="E60" s="51">
        <f t="shared" ref="E60:E84" si="24">D60*0.4</f>
        <v>25199.792000000001</v>
      </c>
      <c r="F60" s="47">
        <f t="shared" ref="F60:F84" si="25">D60*0.1</f>
        <v>6299.9480000000003</v>
      </c>
      <c r="G60" s="47">
        <f t="shared" ref="G60:G84" si="26">D60*0.5</f>
        <v>31499.74</v>
      </c>
      <c r="H60" s="53"/>
      <c r="I60" s="67"/>
      <c r="J60" s="49"/>
      <c r="K60" s="50"/>
      <c r="L60" s="39">
        <f t="shared" si="0"/>
        <v>0</v>
      </c>
      <c r="M60" s="40">
        <f t="shared" si="1"/>
        <v>0</v>
      </c>
      <c r="N60" s="41">
        <f t="shared" si="2"/>
        <v>0</v>
      </c>
      <c r="O60" s="42"/>
    </row>
    <row r="61" spans="1:15" x14ac:dyDescent="0.35">
      <c r="A61" s="43">
        <v>8338</v>
      </c>
      <c r="B61" s="44" t="s">
        <v>103</v>
      </c>
      <c r="C61" s="45" t="s">
        <v>26</v>
      </c>
      <c r="D61" s="46">
        <v>23.01</v>
      </c>
      <c r="E61" s="51">
        <f t="shared" si="24"/>
        <v>9.2040000000000006</v>
      </c>
      <c r="F61" s="47">
        <f t="shared" si="25"/>
        <v>2.3010000000000002</v>
      </c>
      <c r="G61" s="47">
        <f t="shared" si="26"/>
        <v>11.505000000000001</v>
      </c>
      <c r="H61" s="53"/>
      <c r="I61" s="67"/>
      <c r="J61" s="49"/>
      <c r="K61" s="50"/>
      <c r="L61" s="39">
        <f t="shared" si="0"/>
        <v>0</v>
      </c>
      <c r="M61" s="40">
        <f t="shared" si="1"/>
        <v>0</v>
      </c>
      <c r="N61" s="41">
        <f t="shared" si="2"/>
        <v>0</v>
      </c>
      <c r="O61" s="42"/>
    </row>
    <row r="62" spans="1:15" x14ac:dyDescent="0.35">
      <c r="A62" s="43">
        <v>8420</v>
      </c>
      <c r="B62" s="44" t="s">
        <v>98</v>
      </c>
      <c r="C62" s="45" t="s">
        <v>26</v>
      </c>
      <c r="D62" s="46">
        <v>114.06</v>
      </c>
      <c r="E62" s="51">
        <f t="shared" si="24"/>
        <v>45.624000000000002</v>
      </c>
      <c r="F62" s="47">
        <f t="shared" si="25"/>
        <v>11.406000000000001</v>
      </c>
      <c r="G62" s="47">
        <f t="shared" si="26"/>
        <v>57.03</v>
      </c>
      <c r="H62" s="53"/>
      <c r="I62" s="67"/>
      <c r="J62" s="49"/>
      <c r="K62" s="50"/>
      <c r="L62" s="39">
        <f t="shared" si="0"/>
        <v>0</v>
      </c>
      <c r="M62" s="40">
        <f t="shared" si="1"/>
        <v>0</v>
      </c>
      <c r="N62" s="41">
        <f t="shared" si="2"/>
        <v>0</v>
      </c>
      <c r="O62" s="42"/>
    </row>
    <row r="63" spans="1:15" x14ac:dyDescent="0.35">
      <c r="A63" s="43">
        <v>8436</v>
      </c>
      <c r="B63" s="44" t="s">
        <v>46</v>
      </c>
      <c r="C63" s="45" t="s">
        <v>28</v>
      </c>
      <c r="D63" s="46">
        <v>359189.33</v>
      </c>
      <c r="E63" s="51">
        <f t="shared" si="24"/>
        <v>143675.73200000002</v>
      </c>
      <c r="F63" s="47">
        <f t="shared" si="25"/>
        <v>35918.933000000005</v>
      </c>
      <c r="G63" s="47">
        <f t="shared" si="26"/>
        <v>179594.66500000001</v>
      </c>
      <c r="H63" s="53"/>
      <c r="I63" s="67"/>
      <c r="J63" s="49"/>
      <c r="K63" s="50"/>
      <c r="L63" s="39">
        <f t="shared" si="0"/>
        <v>0</v>
      </c>
      <c r="M63" s="40">
        <f t="shared" si="1"/>
        <v>0</v>
      </c>
      <c r="N63" s="41">
        <f t="shared" si="2"/>
        <v>0</v>
      </c>
      <c r="O63" s="42"/>
    </row>
    <row r="64" spans="1:15" x14ac:dyDescent="0.35">
      <c r="A64" s="43">
        <v>8444</v>
      </c>
      <c r="B64" s="44" t="s">
        <v>67</v>
      </c>
      <c r="C64" s="45" t="s">
        <v>26</v>
      </c>
      <c r="D64" s="46">
        <v>334.17</v>
      </c>
      <c r="E64" s="51">
        <f t="shared" si="24"/>
        <v>133.66800000000001</v>
      </c>
      <c r="F64" s="47">
        <f t="shared" si="25"/>
        <v>33.417000000000002</v>
      </c>
      <c r="G64" s="47">
        <f t="shared" si="26"/>
        <v>167.08500000000001</v>
      </c>
      <c r="H64" s="53"/>
      <c r="I64" s="67"/>
      <c r="J64" s="49"/>
      <c r="K64" s="50"/>
      <c r="L64" s="39">
        <f t="shared" si="0"/>
        <v>0</v>
      </c>
      <c r="M64" s="40">
        <f t="shared" si="1"/>
        <v>0</v>
      </c>
      <c r="N64" s="41">
        <f t="shared" si="2"/>
        <v>0</v>
      </c>
      <c r="O64" s="42"/>
    </row>
    <row r="65" spans="1:15" x14ac:dyDescent="0.35">
      <c r="A65" s="43">
        <v>8466</v>
      </c>
      <c r="B65" s="44" t="s">
        <v>82</v>
      </c>
      <c r="C65" s="45" t="s">
        <v>26</v>
      </c>
      <c r="D65" s="46">
        <v>126</v>
      </c>
      <c r="E65" s="51">
        <f t="shared" si="24"/>
        <v>50.400000000000006</v>
      </c>
      <c r="F65" s="47">
        <f t="shared" si="25"/>
        <v>12.600000000000001</v>
      </c>
      <c r="G65" s="47">
        <f t="shared" si="26"/>
        <v>63</v>
      </c>
      <c r="H65" s="53"/>
      <c r="I65" s="67"/>
      <c r="J65" s="49"/>
      <c r="K65" s="50"/>
      <c r="L65" s="39">
        <f t="shared" ref="L65:L103" si="27">K65*0.4</f>
        <v>0</v>
      </c>
      <c r="M65" s="40">
        <f t="shared" ref="M65:M103" si="28">K65*0.1</f>
        <v>0</v>
      </c>
      <c r="N65" s="41">
        <f t="shared" ref="N65:N103" si="29">K65*0.5</f>
        <v>0</v>
      </c>
      <c r="O65" s="42"/>
    </row>
    <row r="66" spans="1:15" x14ac:dyDescent="0.35">
      <c r="A66" s="43">
        <v>8496</v>
      </c>
      <c r="B66" s="44" t="s">
        <v>35</v>
      </c>
      <c r="C66" s="45" t="s">
        <v>28</v>
      </c>
      <c r="D66" s="46">
        <v>756102.86</v>
      </c>
      <c r="E66" s="51">
        <f t="shared" si="24"/>
        <v>302441.14400000003</v>
      </c>
      <c r="F66" s="47">
        <f t="shared" si="25"/>
        <v>75610.286000000007</v>
      </c>
      <c r="G66" s="47">
        <f t="shared" si="26"/>
        <v>378051.43</v>
      </c>
      <c r="H66" s="53"/>
      <c r="I66" s="67"/>
      <c r="J66" s="49"/>
      <c r="K66" s="50"/>
      <c r="L66" s="39">
        <f t="shared" si="27"/>
        <v>0</v>
      </c>
      <c r="M66" s="40">
        <f t="shared" si="28"/>
        <v>0</v>
      </c>
      <c r="N66" s="41">
        <f t="shared" si="29"/>
        <v>0</v>
      </c>
      <c r="O66" s="42"/>
    </row>
    <row r="67" spans="1:15" x14ac:dyDescent="0.35">
      <c r="A67" s="43">
        <v>8539</v>
      </c>
      <c r="B67" s="44" t="s">
        <v>96</v>
      </c>
      <c r="C67" s="45" t="s">
        <v>26</v>
      </c>
      <c r="D67" s="46">
        <v>170.09</v>
      </c>
      <c r="E67" s="51">
        <f t="shared" si="24"/>
        <v>68.036000000000001</v>
      </c>
      <c r="F67" s="47">
        <f t="shared" si="25"/>
        <v>17.009</v>
      </c>
      <c r="G67" s="47">
        <f t="shared" si="26"/>
        <v>85.045000000000002</v>
      </c>
      <c r="H67" s="53"/>
      <c r="I67" s="67"/>
      <c r="J67" s="49"/>
      <c r="K67" s="50"/>
      <c r="L67" s="39">
        <f t="shared" si="27"/>
        <v>0</v>
      </c>
      <c r="M67" s="40">
        <f t="shared" si="28"/>
        <v>0</v>
      </c>
      <c r="N67" s="41">
        <f t="shared" si="29"/>
        <v>0</v>
      </c>
      <c r="O67" s="42"/>
    </row>
    <row r="68" spans="1:15" x14ac:dyDescent="0.35">
      <c r="A68" s="43">
        <v>8596</v>
      </c>
      <c r="B68" s="44" t="s">
        <v>35</v>
      </c>
      <c r="C68" s="45" t="s">
        <v>28</v>
      </c>
      <c r="D68" s="46">
        <v>818622.11</v>
      </c>
      <c r="E68" s="51">
        <f t="shared" si="24"/>
        <v>327448.84400000004</v>
      </c>
      <c r="F68" s="47">
        <f t="shared" si="25"/>
        <v>81862.21100000001</v>
      </c>
      <c r="G68" s="47">
        <f t="shared" si="26"/>
        <v>409311.05499999999</v>
      </c>
      <c r="H68" s="53"/>
      <c r="I68" s="67"/>
      <c r="J68" s="49"/>
      <c r="K68" s="50"/>
      <c r="L68" s="39">
        <f t="shared" si="27"/>
        <v>0</v>
      </c>
      <c r="M68" s="40">
        <f t="shared" si="28"/>
        <v>0</v>
      </c>
      <c r="N68" s="41">
        <f t="shared" si="29"/>
        <v>0</v>
      </c>
      <c r="O68" s="42"/>
    </row>
    <row r="69" spans="1:15" x14ac:dyDescent="0.35">
      <c r="A69" s="43">
        <v>8597</v>
      </c>
      <c r="B69" s="44" t="s">
        <v>45</v>
      </c>
      <c r="C69" s="45" t="s">
        <v>28</v>
      </c>
      <c r="D69" s="46">
        <v>210908.41</v>
      </c>
      <c r="E69" s="51">
        <f t="shared" si="24"/>
        <v>84363.364000000001</v>
      </c>
      <c r="F69" s="47">
        <f t="shared" si="25"/>
        <v>21090.841</v>
      </c>
      <c r="G69" s="47">
        <f t="shared" si="26"/>
        <v>105454.205</v>
      </c>
      <c r="H69" s="53"/>
      <c r="I69" s="67"/>
      <c r="J69" s="49"/>
      <c r="K69" s="50"/>
      <c r="L69" s="39">
        <f t="shared" si="27"/>
        <v>0</v>
      </c>
      <c r="M69" s="40">
        <f t="shared" si="28"/>
        <v>0</v>
      </c>
      <c r="N69" s="41">
        <f t="shared" si="29"/>
        <v>0</v>
      </c>
      <c r="O69" s="42"/>
    </row>
    <row r="70" spans="1:15" x14ac:dyDescent="0.35">
      <c r="A70" s="43">
        <v>8649</v>
      </c>
      <c r="B70" s="44" t="s">
        <v>82</v>
      </c>
      <c r="C70" s="45" t="s">
        <v>26</v>
      </c>
      <c r="D70" s="46">
        <v>10.01</v>
      </c>
      <c r="E70" s="51">
        <f t="shared" si="24"/>
        <v>4.0040000000000004</v>
      </c>
      <c r="F70" s="47">
        <f t="shared" si="25"/>
        <v>1.0010000000000001</v>
      </c>
      <c r="G70" s="47">
        <f t="shared" si="26"/>
        <v>5.0049999999999999</v>
      </c>
      <c r="H70" s="53"/>
      <c r="I70" s="67"/>
      <c r="J70" s="49"/>
      <c r="K70" s="50"/>
      <c r="L70" s="39">
        <f t="shared" si="27"/>
        <v>0</v>
      </c>
      <c r="M70" s="40">
        <f t="shared" si="28"/>
        <v>0</v>
      </c>
      <c r="N70" s="41">
        <f t="shared" si="29"/>
        <v>0</v>
      </c>
      <c r="O70" s="42"/>
    </row>
    <row r="71" spans="1:15" x14ac:dyDescent="0.35">
      <c r="A71" s="43">
        <v>8799</v>
      </c>
      <c r="B71" s="44" t="s">
        <v>33</v>
      </c>
      <c r="C71" s="45" t="s">
        <v>28</v>
      </c>
      <c r="D71" s="46">
        <v>804243.92</v>
      </c>
      <c r="E71" s="51">
        <f t="shared" si="24"/>
        <v>321697.56800000003</v>
      </c>
      <c r="F71" s="47">
        <f t="shared" si="25"/>
        <v>80424.392000000007</v>
      </c>
      <c r="G71" s="47">
        <f t="shared" si="26"/>
        <v>402121.96</v>
      </c>
      <c r="H71" s="53"/>
      <c r="I71" s="67"/>
      <c r="J71" s="49"/>
      <c r="K71" s="50"/>
      <c r="L71" s="39">
        <f t="shared" si="27"/>
        <v>0</v>
      </c>
      <c r="M71" s="40">
        <f t="shared" si="28"/>
        <v>0</v>
      </c>
      <c r="N71" s="41">
        <f t="shared" si="29"/>
        <v>0</v>
      </c>
      <c r="O71" s="42"/>
    </row>
    <row r="72" spans="1:15" x14ac:dyDescent="0.35">
      <c r="A72" s="43">
        <v>8852</v>
      </c>
      <c r="B72" s="44" t="s">
        <v>52</v>
      </c>
      <c r="C72" s="45" t="s">
        <v>26</v>
      </c>
      <c r="D72" s="46">
        <v>138775.35</v>
      </c>
      <c r="E72" s="51">
        <f t="shared" si="24"/>
        <v>55510.140000000007</v>
      </c>
      <c r="F72" s="47">
        <f t="shared" si="25"/>
        <v>13877.535000000002</v>
      </c>
      <c r="G72" s="47">
        <f t="shared" si="26"/>
        <v>69387.675000000003</v>
      </c>
      <c r="H72" s="53"/>
      <c r="I72" s="67"/>
      <c r="J72" s="49"/>
      <c r="K72" s="50"/>
      <c r="L72" s="39">
        <f t="shared" si="27"/>
        <v>0</v>
      </c>
      <c r="M72" s="40">
        <f t="shared" si="28"/>
        <v>0</v>
      </c>
      <c r="N72" s="41">
        <f t="shared" si="29"/>
        <v>0</v>
      </c>
      <c r="O72" s="42"/>
    </row>
    <row r="73" spans="1:15" x14ac:dyDescent="0.35">
      <c r="A73" s="43">
        <v>8863</v>
      </c>
      <c r="B73" s="44" t="s">
        <v>113</v>
      </c>
      <c r="C73" s="45" t="s">
        <v>26</v>
      </c>
      <c r="D73" s="46">
        <v>106213.08</v>
      </c>
      <c r="E73" s="51">
        <f t="shared" si="24"/>
        <v>42485.232000000004</v>
      </c>
      <c r="F73" s="47">
        <f t="shared" si="25"/>
        <v>10621.308000000001</v>
      </c>
      <c r="G73" s="47">
        <f t="shared" si="26"/>
        <v>53106.54</v>
      </c>
      <c r="H73" s="53"/>
      <c r="I73" s="67"/>
      <c r="J73" s="49"/>
      <c r="K73" s="50"/>
      <c r="L73" s="39">
        <f t="shared" si="27"/>
        <v>0</v>
      </c>
      <c r="M73" s="40">
        <f t="shared" si="28"/>
        <v>0</v>
      </c>
      <c r="N73" s="41">
        <f t="shared" si="29"/>
        <v>0</v>
      </c>
      <c r="O73" s="42"/>
    </row>
    <row r="74" spans="1:15" x14ac:dyDescent="0.35">
      <c r="A74" s="43">
        <v>8930</v>
      </c>
      <c r="B74" s="44" t="s">
        <v>66</v>
      </c>
      <c r="C74" s="45" t="s">
        <v>28</v>
      </c>
      <c r="D74" s="46">
        <v>47373.67</v>
      </c>
      <c r="E74" s="51">
        <f t="shared" si="24"/>
        <v>18949.468000000001</v>
      </c>
      <c r="F74" s="47">
        <f t="shared" si="25"/>
        <v>4737.3670000000002</v>
      </c>
      <c r="G74" s="47">
        <f t="shared" si="26"/>
        <v>23686.834999999999</v>
      </c>
      <c r="H74" s="53"/>
      <c r="I74" s="67"/>
      <c r="J74" s="49"/>
      <c r="K74" s="50"/>
      <c r="L74" s="39">
        <f t="shared" si="27"/>
        <v>0</v>
      </c>
      <c r="M74" s="40">
        <f t="shared" si="28"/>
        <v>0</v>
      </c>
      <c r="N74" s="41">
        <f t="shared" si="29"/>
        <v>0</v>
      </c>
      <c r="O74" s="42"/>
    </row>
    <row r="75" spans="1:15" x14ac:dyDescent="0.35">
      <c r="A75" s="43">
        <v>8954</v>
      </c>
      <c r="B75" s="44" t="s">
        <v>64</v>
      </c>
      <c r="C75" s="45" t="s">
        <v>28</v>
      </c>
      <c r="D75" s="46">
        <v>66143.06</v>
      </c>
      <c r="E75" s="51">
        <f t="shared" si="24"/>
        <v>26457.224000000002</v>
      </c>
      <c r="F75" s="47">
        <f t="shared" si="25"/>
        <v>6614.3060000000005</v>
      </c>
      <c r="G75" s="47">
        <f t="shared" si="26"/>
        <v>33071.53</v>
      </c>
      <c r="H75" s="53"/>
      <c r="I75" s="67"/>
      <c r="J75" s="49"/>
      <c r="K75" s="50"/>
      <c r="L75" s="39">
        <f t="shared" si="27"/>
        <v>0</v>
      </c>
      <c r="M75" s="40">
        <f t="shared" si="28"/>
        <v>0</v>
      </c>
      <c r="N75" s="41">
        <f t="shared" si="29"/>
        <v>0</v>
      </c>
      <c r="O75" s="42"/>
    </row>
    <row r="76" spans="1:15" x14ac:dyDescent="0.35">
      <c r="A76" s="43">
        <v>8970</v>
      </c>
      <c r="B76" s="44" t="s">
        <v>67</v>
      </c>
      <c r="C76" s="45" t="s">
        <v>26</v>
      </c>
      <c r="D76" s="46">
        <v>1730.03</v>
      </c>
      <c r="E76" s="51">
        <f t="shared" si="24"/>
        <v>692.01200000000006</v>
      </c>
      <c r="F76" s="47">
        <f t="shared" si="25"/>
        <v>173.00300000000001</v>
      </c>
      <c r="G76" s="47">
        <f t="shared" si="26"/>
        <v>865.01499999999999</v>
      </c>
      <c r="H76" s="53"/>
      <c r="I76" s="67"/>
      <c r="J76" s="49"/>
      <c r="K76" s="50"/>
      <c r="L76" s="39">
        <f t="shared" si="27"/>
        <v>0</v>
      </c>
      <c r="M76" s="40">
        <f t="shared" si="28"/>
        <v>0</v>
      </c>
      <c r="N76" s="41">
        <f t="shared" si="29"/>
        <v>0</v>
      </c>
      <c r="O76" s="42"/>
    </row>
    <row r="77" spans="1:15" x14ac:dyDescent="0.35">
      <c r="A77" s="43">
        <v>8998</v>
      </c>
      <c r="B77" s="44" t="s">
        <v>82</v>
      </c>
      <c r="C77" s="45" t="s">
        <v>28</v>
      </c>
      <c r="D77" s="46">
        <v>3907.95</v>
      </c>
      <c r="E77" s="51">
        <f t="shared" si="24"/>
        <v>1563.18</v>
      </c>
      <c r="F77" s="47">
        <f t="shared" si="25"/>
        <v>390.79500000000002</v>
      </c>
      <c r="G77" s="47">
        <f t="shared" si="26"/>
        <v>1953.9749999999999</v>
      </c>
      <c r="H77" s="53"/>
      <c r="I77" s="67"/>
      <c r="J77" s="49"/>
      <c r="K77" s="50"/>
      <c r="L77" s="39">
        <f t="shared" si="27"/>
        <v>0</v>
      </c>
      <c r="M77" s="40">
        <f t="shared" si="28"/>
        <v>0</v>
      </c>
      <c r="N77" s="41">
        <f t="shared" si="29"/>
        <v>0</v>
      </c>
      <c r="O77" s="42"/>
    </row>
    <row r="78" spans="1:15" x14ac:dyDescent="0.35">
      <c r="A78" s="43">
        <v>9032</v>
      </c>
      <c r="B78" s="44" t="s">
        <v>86</v>
      </c>
      <c r="C78" s="45" t="s">
        <v>28</v>
      </c>
      <c r="D78" s="46">
        <v>8351.17</v>
      </c>
      <c r="E78" s="51">
        <f t="shared" si="24"/>
        <v>3340.4680000000003</v>
      </c>
      <c r="F78" s="47">
        <f t="shared" si="25"/>
        <v>835.11700000000008</v>
      </c>
      <c r="G78" s="47">
        <f t="shared" si="26"/>
        <v>4175.585</v>
      </c>
      <c r="H78" s="53"/>
      <c r="I78" s="67"/>
      <c r="J78" s="49"/>
      <c r="K78" s="50"/>
      <c r="L78" s="39">
        <f t="shared" si="27"/>
        <v>0</v>
      </c>
      <c r="M78" s="40">
        <f t="shared" si="28"/>
        <v>0</v>
      </c>
      <c r="N78" s="41">
        <f t="shared" si="29"/>
        <v>0</v>
      </c>
      <c r="O78" s="42"/>
    </row>
    <row r="79" spans="1:15" x14ac:dyDescent="0.35">
      <c r="A79" s="43">
        <v>9036</v>
      </c>
      <c r="B79" s="44" t="s">
        <v>59</v>
      </c>
      <c r="C79" s="45" t="s">
        <v>28</v>
      </c>
      <c r="D79" s="46">
        <v>127081.51</v>
      </c>
      <c r="E79" s="51">
        <f t="shared" si="24"/>
        <v>50832.603999999999</v>
      </c>
      <c r="F79" s="47">
        <f t="shared" si="25"/>
        <v>12708.151</v>
      </c>
      <c r="G79" s="47">
        <f t="shared" si="26"/>
        <v>63540.754999999997</v>
      </c>
      <c r="H79" s="53"/>
      <c r="I79" s="67"/>
      <c r="J79" s="49"/>
      <c r="K79" s="50"/>
      <c r="L79" s="39">
        <f t="shared" si="27"/>
        <v>0</v>
      </c>
      <c r="M79" s="40">
        <f t="shared" si="28"/>
        <v>0</v>
      </c>
      <c r="N79" s="41">
        <f t="shared" si="29"/>
        <v>0</v>
      </c>
      <c r="O79" s="42"/>
    </row>
    <row r="80" spans="1:15" x14ac:dyDescent="0.35">
      <c r="A80" s="43">
        <v>9081</v>
      </c>
      <c r="B80" s="44" t="s">
        <v>56</v>
      </c>
      <c r="C80" s="45" t="s">
        <v>28</v>
      </c>
      <c r="D80" s="46">
        <v>157205.56</v>
      </c>
      <c r="E80" s="51">
        <f t="shared" si="24"/>
        <v>62882.224000000002</v>
      </c>
      <c r="F80" s="47">
        <f t="shared" si="25"/>
        <v>15720.556</v>
      </c>
      <c r="G80" s="47">
        <f t="shared" si="26"/>
        <v>78602.78</v>
      </c>
      <c r="H80" s="53"/>
      <c r="I80" s="67"/>
      <c r="J80" s="49"/>
      <c r="K80" s="50"/>
      <c r="L80" s="39">
        <f t="shared" si="27"/>
        <v>0</v>
      </c>
      <c r="M80" s="40">
        <f t="shared" si="28"/>
        <v>0</v>
      </c>
      <c r="N80" s="41">
        <f t="shared" si="29"/>
        <v>0</v>
      </c>
      <c r="O80" s="42"/>
    </row>
    <row r="81" spans="1:15" x14ac:dyDescent="0.35">
      <c r="A81" s="43">
        <v>9158</v>
      </c>
      <c r="B81" s="44" t="s">
        <v>53</v>
      </c>
      <c r="C81" s="45" t="s">
        <v>28</v>
      </c>
      <c r="D81" s="46">
        <v>178445.18</v>
      </c>
      <c r="E81" s="51">
        <f t="shared" si="24"/>
        <v>71378.072</v>
      </c>
      <c r="F81" s="47">
        <f t="shared" si="25"/>
        <v>17844.518</v>
      </c>
      <c r="G81" s="47">
        <f t="shared" si="26"/>
        <v>89222.59</v>
      </c>
      <c r="H81" s="53"/>
      <c r="I81" s="67"/>
      <c r="J81" s="49"/>
      <c r="K81" s="50"/>
      <c r="L81" s="39">
        <f t="shared" si="27"/>
        <v>0</v>
      </c>
      <c r="M81" s="40">
        <f t="shared" si="28"/>
        <v>0</v>
      </c>
      <c r="N81" s="41">
        <f t="shared" si="29"/>
        <v>0</v>
      </c>
      <c r="O81" s="42"/>
    </row>
    <row r="82" spans="1:15" x14ac:dyDescent="0.35">
      <c r="A82" s="43">
        <v>9187</v>
      </c>
      <c r="B82" s="44" t="s">
        <v>50</v>
      </c>
      <c r="C82" s="45" t="s">
        <v>28</v>
      </c>
      <c r="D82" s="46">
        <v>196935.42</v>
      </c>
      <c r="E82" s="51">
        <f t="shared" si="24"/>
        <v>78774.168000000005</v>
      </c>
      <c r="F82" s="47">
        <f t="shared" si="25"/>
        <v>19693.542000000001</v>
      </c>
      <c r="G82" s="47">
        <f t="shared" si="26"/>
        <v>98467.71</v>
      </c>
      <c r="H82" s="53"/>
      <c r="I82" s="67"/>
      <c r="J82" s="49"/>
      <c r="K82" s="50"/>
      <c r="L82" s="39">
        <f t="shared" si="27"/>
        <v>0</v>
      </c>
      <c r="M82" s="40">
        <f t="shared" si="28"/>
        <v>0</v>
      </c>
      <c r="N82" s="41">
        <f t="shared" si="29"/>
        <v>0</v>
      </c>
      <c r="O82" s="42"/>
    </row>
    <row r="83" spans="1:15" x14ac:dyDescent="0.35">
      <c r="A83" s="43">
        <v>9282</v>
      </c>
      <c r="B83" s="44" t="s">
        <v>43</v>
      </c>
      <c r="C83" s="45" t="s">
        <v>26</v>
      </c>
      <c r="D83" s="46">
        <v>4254.13</v>
      </c>
      <c r="E83" s="51">
        <f t="shared" si="24"/>
        <v>1701.652</v>
      </c>
      <c r="F83" s="47">
        <f t="shared" si="25"/>
        <v>425.41300000000001</v>
      </c>
      <c r="G83" s="47">
        <f t="shared" si="26"/>
        <v>2127.0650000000001</v>
      </c>
      <c r="H83" s="53"/>
      <c r="I83" s="67"/>
      <c r="J83" s="49"/>
      <c r="K83" s="50"/>
      <c r="L83" s="39">
        <f t="shared" si="27"/>
        <v>0</v>
      </c>
      <c r="M83" s="40">
        <f t="shared" si="28"/>
        <v>0</v>
      </c>
      <c r="N83" s="41">
        <f t="shared" si="29"/>
        <v>0</v>
      </c>
      <c r="O83" s="42"/>
    </row>
    <row r="84" spans="1:15" x14ac:dyDescent="0.35">
      <c r="A84" s="43">
        <v>9391</v>
      </c>
      <c r="B84" s="44" t="s">
        <v>58</v>
      </c>
      <c r="C84" s="45" t="s">
        <v>28</v>
      </c>
      <c r="D84" s="46">
        <v>138446.19</v>
      </c>
      <c r="E84" s="51">
        <f t="shared" si="24"/>
        <v>55378.476000000002</v>
      </c>
      <c r="F84" s="47">
        <f t="shared" si="25"/>
        <v>13844.619000000001</v>
      </c>
      <c r="G84" s="47">
        <f t="shared" si="26"/>
        <v>69223.095000000001</v>
      </c>
      <c r="H84" s="53"/>
      <c r="I84" s="67"/>
      <c r="J84" s="49"/>
      <c r="K84" s="50"/>
      <c r="L84" s="39">
        <f t="shared" si="27"/>
        <v>0</v>
      </c>
      <c r="M84" s="40">
        <f t="shared" si="28"/>
        <v>0</v>
      </c>
      <c r="N84" s="41">
        <f t="shared" si="29"/>
        <v>0</v>
      </c>
      <c r="O84" s="42"/>
    </row>
    <row r="85" spans="1:15" x14ac:dyDescent="0.35">
      <c r="A85" s="43">
        <v>9400</v>
      </c>
      <c r="B85" s="44" t="s">
        <v>34</v>
      </c>
      <c r="C85" s="45" t="s">
        <v>28</v>
      </c>
      <c r="D85" s="46">
        <v>1283311.8999999999</v>
      </c>
      <c r="E85" s="51">
        <v>0</v>
      </c>
      <c r="F85" s="51">
        <v>0</v>
      </c>
      <c r="G85" s="52">
        <f t="shared" ref="G85:G87" si="30">D85</f>
        <v>1283311.8999999999</v>
      </c>
      <c r="H85" s="53" t="s">
        <v>14</v>
      </c>
      <c r="I85" s="67"/>
      <c r="J85" s="49"/>
      <c r="K85" s="50"/>
      <c r="L85" s="39">
        <f>K85*0</f>
        <v>0</v>
      </c>
      <c r="M85" s="40">
        <f>K85*0</f>
        <v>0</v>
      </c>
      <c r="N85" s="41">
        <f>K85*1</f>
        <v>0</v>
      </c>
      <c r="O85" s="42"/>
    </row>
    <row r="86" spans="1:15" x14ac:dyDescent="0.35">
      <c r="A86" s="43">
        <v>9565</v>
      </c>
      <c r="B86" s="44" t="s">
        <v>40</v>
      </c>
      <c r="C86" s="45" t="s">
        <v>28</v>
      </c>
      <c r="D86" s="46">
        <v>485640.35</v>
      </c>
      <c r="E86" s="51">
        <v>0</v>
      </c>
      <c r="F86" s="51">
        <v>0</v>
      </c>
      <c r="G86" s="52">
        <f t="shared" si="30"/>
        <v>485640.35</v>
      </c>
      <c r="H86" s="53" t="s">
        <v>14</v>
      </c>
      <c r="I86" s="67"/>
      <c r="J86" s="49"/>
      <c r="K86" s="50"/>
      <c r="L86" s="39">
        <f>K86*0</f>
        <v>0</v>
      </c>
      <c r="M86" s="40">
        <f>K86*0</f>
        <v>0</v>
      </c>
      <c r="N86" s="41">
        <f>K86*1</f>
        <v>0</v>
      </c>
      <c r="O86" s="42"/>
    </row>
    <row r="87" spans="1:15" x14ac:dyDescent="0.35">
      <c r="A87" s="43">
        <v>9600</v>
      </c>
      <c r="B87" s="44" t="s">
        <v>38</v>
      </c>
      <c r="C87" s="45" t="s">
        <v>28</v>
      </c>
      <c r="D87" s="46">
        <v>449964.87</v>
      </c>
      <c r="E87" s="51">
        <v>0</v>
      </c>
      <c r="F87" s="51">
        <v>0</v>
      </c>
      <c r="G87" s="52">
        <f t="shared" si="30"/>
        <v>449964.87</v>
      </c>
      <c r="H87" s="53" t="s">
        <v>14</v>
      </c>
      <c r="I87" s="67"/>
      <c r="J87" s="49"/>
      <c r="K87" s="50"/>
      <c r="L87" s="39">
        <f>K87*0</f>
        <v>0</v>
      </c>
      <c r="M87" s="40">
        <f>K87*0</f>
        <v>0</v>
      </c>
      <c r="N87" s="41">
        <f>K87*1</f>
        <v>0</v>
      </c>
      <c r="O87" s="42"/>
    </row>
    <row r="88" spans="1:15" x14ac:dyDescent="0.35">
      <c r="A88" s="43">
        <v>9604</v>
      </c>
      <c r="B88" s="44" t="s">
        <v>106</v>
      </c>
      <c r="C88" s="45" t="s">
        <v>28</v>
      </c>
      <c r="D88" s="46">
        <v>107771.86</v>
      </c>
      <c r="E88" s="51">
        <f>D88*0.4</f>
        <v>43108.744000000006</v>
      </c>
      <c r="F88" s="47">
        <f>D88*0.1</f>
        <v>10777.186000000002</v>
      </c>
      <c r="G88" s="47">
        <f>D88*0.5</f>
        <v>53885.93</v>
      </c>
      <c r="H88" s="53"/>
      <c r="I88" s="67"/>
      <c r="J88" s="49"/>
      <c r="K88" s="50"/>
      <c r="L88" s="39">
        <f t="shared" si="27"/>
        <v>0</v>
      </c>
      <c r="M88" s="40">
        <f t="shared" si="28"/>
        <v>0</v>
      </c>
      <c r="N88" s="41">
        <f t="shared" si="29"/>
        <v>0</v>
      </c>
      <c r="O88" s="42"/>
    </row>
    <row r="89" spans="1:15" x14ac:dyDescent="0.35">
      <c r="A89" s="43">
        <v>9616</v>
      </c>
      <c r="B89" s="44" t="s">
        <v>99</v>
      </c>
      <c r="C89" s="45" t="s">
        <v>28</v>
      </c>
      <c r="D89" s="46">
        <v>309984.92</v>
      </c>
      <c r="E89" s="51">
        <v>0</v>
      </c>
      <c r="F89" s="51">
        <v>0</v>
      </c>
      <c r="G89" s="52">
        <f>D89</f>
        <v>309984.92</v>
      </c>
      <c r="H89" s="53" t="s">
        <v>14</v>
      </c>
      <c r="I89" s="67"/>
      <c r="J89" s="49"/>
      <c r="K89" s="50"/>
      <c r="L89" s="39">
        <f>K89*0</f>
        <v>0</v>
      </c>
      <c r="M89" s="40">
        <f>K89*0</f>
        <v>0</v>
      </c>
      <c r="N89" s="41">
        <f>K89*1</f>
        <v>0</v>
      </c>
      <c r="O89" s="42"/>
    </row>
    <row r="90" spans="1:15" x14ac:dyDescent="0.35">
      <c r="A90" s="43">
        <v>9665</v>
      </c>
      <c r="B90" s="44" t="s">
        <v>91</v>
      </c>
      <c r="C90" s="45" t="s">
        <v>26</v>
      </c>
      <c r="D90" s="46">
        <v>366</v>
      </c>
      <c r="E90" s="51">
        <f>D90*0.4</f>
        <v>146.4</v>
      </c>
      <c r="F90" s="47">
        <f>D90*0.1</f>
        <v>36.6</v>
      </c>
      <c r="G90" s="47">
        <f>D90*0.5</f>
        <v>183</v>
      </c>
      <c r="H90" s="53"/>
      <c r="I90" s="67"/>
      <c r="J90" s="49"/>
      <c r="K90" s="50"/>
      <c r="L90" s="39">
        <f t="shared" si="27"/>
        <v>0</v>
      </c>
      <c r="M90" s="40">
        <f t="shared" si="28"/>
        <v>0</v>
      </c>
      <c r="N90" s="41">
        <f t="shared" si="29"/>
        <v>0</v>
      </c>
      <c r="O90" s="42"/>
    </row>
    <row r="91" spans="1:15" x14ac:dyDescent="0.35">
      <c r="A91" s="43">
        <v>9757</v>
      </c>
      <c r="B91" s="44" t="s">
        <v>76</v>
      </c>
      <c r="C91" s="45" t="s">
        <v>28</v>
      </c>
      <c r="D91" s="46">
        <v>62953.47</v>
      </c>
      <c r="E91" s="51">
        <f>D91*0.1</f>
        <v>6295.3470000000007</v>
      </c>
      <c r="F91" s="51">
        <v>0</v>
      </c>
      <c r="G91" s="52">
        <f>D91*0.9</f>
        <v>56658.123</v>
      </c>
      <c r="H91" s="53" t="s">
        <v>41</v>
      </c>
      <c r="I91" s="67"/>
      <c r="J91" s="49"/>
      <c r="K91" s="50"/>
      <c r="L91" s="39">
        <f>K91*0.1</f>
        <v>0</v>
      </c>
      <c r="M91" s="40">
        <f>K91*0</f>
        <v>0</v>
      </c>
      <c r="N91" s="41">
        <f>K91*0.9</f>
        <v>0</v>
      </c>
      <c r="O91" s="42"/>
    </row>
    <row r="92" spans="1:15" x14ac:dyDescent="0.35">
      <c r="A92" s="43">
        <v>9760</v>
      </c>
      <c r="B92" s="44" t="s">
        <v>21</v>
      </c>
      <c r="C92" s="45" t="s">
        <v>26</v>
      </c>
      <c r="D92" s="46">
        <v>2131.06</v>
      </c>
      <c r="E92" s="51">
        <f t="shared" ref="E92:E93" si="31">D92*0.4</f>
        <v>852.42399999999998</v>
      </c>
      <c r="F92" s="47">
        <f t="shared" ref="F92:F93" si="32">D92*0.1</f>
        <v>213.10599999999999</v>
      </c>
      <c r="G92" s="47">
        <f t="shared" ref="G92:G93" si="33">D92*0.5</f>
        <v>1065.53</v>
      </c>
      <c r="H92" s="53"/>
      <c r="I92" s="67"/>
      <c r="J92" s="49"/>
      <c r="K92" s="50"/>
      <c r="L92" s="39">
        <f t="shared" si="27"/>
        <v>0</v>
      </c>
      <c r="M92" s="40">
        <f t="shared" si="28"/>
        <v>0</v>
      </c>
      <c r="N92" s="41">
        <f t="shared" si="29"/>
        <v>0</v>
      </c>
      <c r="O92" s="42"/>
    </row>
    <row r="93" spans="1:15" x14ac:dyDescent="0.35">
      <c r="A93" s="43">
        <v>9877</v>
      </c>
      <c r="B93" s="44" t="s">
        <v>102</v>
      </c>
      <c r="C93" s="45" t="s">
        <v>26</v>
      </c>
      <c r="D93" s="46">
        <v>21</v>
      </c>
      <c r="E93" s="51">
        <f t="shared" si="31"/>
        <v>8.4</v>
      </c>
      <c r="F93" s="47">
        <f t="shared" si="32"/>
        <v>2.1</v>
      </c>
      <c r="G93" s="47">
        <f t="shared" si="33"/>
        <v>10.5</v>
      </c>
      <c r="H93" s="53"/>
      <c r="I93" s="67"/>
      <c r="J93" s="49"/>
      <c r="K93" s="50"/>
      <c r="L93" s="39">
        <f t="shared" si="27"/>
        <v>0</v>
      </c>
      <c r="M93" s="40">
        <f t="shared" si="28"/>
        <v>0</v>
      </c>
      <c r="N93" s="41">
        <f t="shared" si="29"/>
        <v>0</v>
      </c>
      <c r="O93" s="42"/>
    </row>
    <row r="94" spans="1:15" x14ac:dyDescent="0.35">
      <c r="A94" s="43">
        <v>9923</v>
      </c>
      <c r="B94" s="44" t="s">
        <v>42</v>
      </c>
      <c r="C94" s="45" t="s">
        <v>28</v>
      </c>
      <c r="D94" s="46">
        <v>463687.73</v>
      </c>
      <c r="E94" s="51">
        <v>0</v>
      </c>
      <c r="F94" s="51">
        <v>0</v>
      </c>
      <c r="G94" s="52">
        <f>D94</f>
        <v>463687.73</v>
      </c>
      <c r="H94" s="53" t="s">
        <v>14</v>
      </c>
      <c r="I94" s="67"/>
      <c r="J94" s="49"/>
      <c r="K94" s="50"/>
      <c r="L94" s="39">
        <f>K94*0</f>
        <v>0</v>
      </c>
      <c r="M94" s="40">
        <f>K94*0</f>
        <v>0</v>
      </c>
      <c r="N94" s="41">
        <f>K94*1</f>
        <v>0</v>
      </c>
      <c r="O94" s="42"/>
    </row>
    <row r="95" spans="1:15" x14ac:dyDescent="0.35">
      <c r="A95" s="43">
        <v>9932</v>
      </c>
      <c r="B95" s="44" t="s">
        <v>49</v>
      </c>
      <c r="C95" s="45" t="s">
        <v>28</v>
      </c>
      <c r="D95" s="46">
        <v>179651.78</v>
      </c>
      <c r="E95" s="51">
        <f>D95*0.4</f>
        <v>71860.712</v>
      </c>
      <c r="F95" s="47">
        <f>D95*0.1</f>
        <v>17965.178</v>
      </c>
      <c r="G95" s="47">
        <f>D95*0.5</f>
        <v>89825.89</v>
      </c>
      <c r="H95" s="53"/>
      <c r="I95" s="67"/>
      <c r="J95" s="49"/>
      <c r="K95" s="50"/>
      <c r="L95" s="39">
        <f t="shared" si="27"/>
        <v>0</v>
      </c>
      <c r="M95" s="40">
        <f t="shared" si="28"/>
        <v>0</v>
      </c>
      <c r="N95" s="41">
        <f t="shared" si="29"/>
        <v>0</v>
      </c>
      <c r="O95" s="42"/>
    </row>
    <row r="96" spans="1:15" x14ac:dyDescent="0.35">
      <c r="A96" s="43">
        <v>9938</v>
      </c>
      <c r="B96" s="44" t="s">
        <v>63</v>
      </c>
      <c r="C96" s="45" t="s">
        <v>28</v>
      </c>
      <c r="D96" s="46">
        <v>87256.61</v>
      </c>
      <c r="E96" s="51">
        <f>D96*0.1</f>
        <v>8725.6610000000001</v>
      </c>
      <c r="F96" s="51">
        <v>0</v>
      </c>
      <c r="G96" s="52">
        <f>D96*0.9</f>
        <v>78530.949000000008</v>
      </c>
      <c r="H96" s="53" t="s">
        <v>41</v>
      </c>
      <c r="I96" s="67"/>
      <c r="J96" s="49"/>
      <c r="K96" s="50"/>
      <c r="L96" s="39">
        <f>K96*0.1</f>
        <v>0</v>
      </c>
      <c r="M96" s="40">
        <f>K96*0</f>
        <v>0</v>
      </c>
      <c r="N96" s="41">
        <f>K96*0.9</f>
        <v>0</v>
      </c>
      <c r="O96" s="42"/>
    </row>
    <row r="97" spans="1:15" x14ac:dyDescent="0.35">
      <c r="A97" s="43">
        <v>8571</v>
      </c>
      <c r="B97" s="44" t="s">
        <v>115</v>
      </c>
      <c r="C97" s="45" t="s">
        <v>28</v>
      </c>
      <c r="D97" s="46">
        <v>312747.28999999998</v>
      </c>
      <c r="E97" s="51">
        <f t="shared" ref="E97:E99" si="34">D97*0.4</f>
        <v>125098.916</v>
      </c>
      <c r="F97" s="47">
        <f t="shared" ref="F97:F99" si="35">D97*0.1</f>
        <v>31274.728999999999</v>
      </c>
      <c r="G97" s="47">
        <f t="shared" ref="G97:G99" si="36">D97*0.5</f>
        <v>156373.64499999999</v>
      </c>
      <c r="H97" s="53"/>
      <c r="I97" s="67"/>
      <c r="J97" s="49"/>
      <c r="K97" s="50"/>
      <c r="L97" s="39">
        <f t="shared" si="27"/>
        <v>0</v>
      </c>
      <c r="M97" s="40">
        <f t="shared" si="28"/>
        <v>0</v>
      </c>
      <c r="N97" s="41">
        <f t="shared" si="29"/>
        <v>0</v>
      </c>
      <c r="O97" s="42"/>
    </row>
    <row r="98" spans="1:15" x14ac:dyDescent="0.35">
      <c r="A98" s="43">
        <v>8369</v>
      </c>
      <c r="B98" s="44" t="s">
        <v>117</v>
      </c>
      <c r="C98" s="45" t="s">
        <v>28</v>
      </c>
      <c r="D98" s="46">
        <v>90103.03</v>
      </c>
      <c r="E98" s="51">
        <f t="shared" si="34"/>
        <v>36041.212</v>
      </c>
      <c r="F98" s="47">
        <f t="shared" si="35"/>
        <v>9010.3029999999999</v>
      </c>
      <c r="G98" s="47">
        <f t="shared" si="36"/>
        <v>45051.514999999999</v>
      </c>
      <c r="H98" s="53"/>
      <c r="I98" s="67"/>
      <c r="J98" s="49"/>
      <c r="K98" s="50"/>
      <c r="L98" s="39">
        <f>K98*0.4</f>
        <v>0</v>
      </c>
      <c r="M98" s="40">
        <f>K98*0.1</f>
        <v>0</v>
      </c>
      <c r="N98" s="41">
        <f>K98*0.5</f>
        <v>0</v>
      </c>
      <c r="O98" s="42"/>
    </row>
    <row r="99" spans="1:15" x14ac:dyDescent="0.35">
      <c r="A99" s="43">
        <v>7012</v>
      </c>
      <c r="B99" s="44" t="s">
        <v>118</v>
      </c>
      <c r="C99" s="45" t="s">
        <v>28</v>
      </c>
      <c r="D99" s="46">
        <v>12296.14</v>
      </c>
      <c r="E99" s="51">
        <f t="shared" si="34"/>
        <v>4918.4560000000001</v>
      </c>
      <c r="F99" s="47">
        <f t="shared" si="35"/>
        <v>1229.614</v>
      </c>
      <c r="G99" s="47">
        <f t="shared" si="36"/>
        <v>6148.07</v>
      </c>
      <c r="H99" s="53"/>
      <c r="I99" s="67"/>
      <c r="J99" s="49"/>
      <c r="K99" s="50"/>
      <c r="L99" s="39">
        <f t="shared" si="27"/>
        <v>0</v>
      </c>
      <c r="M99" s="40">
        <f t="shared" si="28"/>
        <v>0</v>
      </c>
      <c r="N99" s="41">
        <f t="shared" si="29"/>
        <v>0</v>
      </c>
      <c r="O99" s="42"/>
    </row>
    <row r="100" spans="1:15" x14ac:dyDescent="0.35">
      <c r="A100" s="129">
        <v>6832</v>
      </c>
      <c r="B100" s="130" t="s">
        <v>121</v>
      </c>
      <c r="C100" s="45" t="s">
        <v>28</v>
      </c>
      <c r="D100" s="46">
        <v>612003.32999999996</v>
      </c>
      <c r="E100" s="51"/>
      <c r="F100" s="51"/>
      <c r="G100" s="52">
        <f>D100</f>
        <v>612003.32999999996</v>
      </c>
      <c r="H100" s="53" t="s">
        <v>14</v>
      </c>
      <c r="I100" s="67"/>
      <c r="J100" s="49"/>
      <c r="K100" s="50"/>
      <c r="L100" s="39">
        <f>K100*0</f>
        <v>0</v>
      </c>
      <c r="M100" s="40">
        <f>K100*0</f>
        <v>0</v>
      </c>
      <c r="N100" s="41">
        <f>K100*1</f>
        <v>0</v>
      </c>
      <c r="O100" s="42"/>
    </row>
    <row r="101" spans="1:15" x14ac:dyDescent="0.35">
      <c r="A101" s="129">
        <v>9827</v>
      </c>
      <c r="B101" s="130" t="s">
        <v>122</v>
      </c>
      <c r="C101" s="45" t="s">
        <v>28</v>
      </c>
      <c r="D101" s="46">
        <v>95026.49</v>
      </c>
      <c r="E101" s="51">
        <f>D101*0.1</f>
        <v>9502.6490000000013</v>
      </c>
      <c r="F101" s="51"/>
      <c r="G101" s="52">
        <f>D101*0.9</f>
        <v>85523.841</v>
      </c>
      <c r="H101" s="53" t="s">
        <v>41</v>
      </c>
      <c r="I101" s="67"/>
      <c r="J101" s="49"/>
      <c r="K101" s="50"/>
      <c r="L101" s="39">
        <f>K101*0.1</f>
        <v>0</v>
      </c>
      <c r="M101" s="40">
        <f>K101*0</f>
        <v>0</v>
      </c>
      <c r="N101" s="41">
        <f>K101*0.9</f>
        <v>0</v>
      </c>
      <c r="O101" s="42"/>
    </row>
    <row r="102" spans="1:15" x14ac:dyDescent="0.35">
      <c r="A102" s="129">
        <v>8050</v>
      </c>
      <c r="B102" s="130" t="s">
        <v>29</v>
      </c>
      <c r="C102" s="45" t="s">
        <v>28</v>
      </c>
      <c r="D102" s="46">
        <v>24</v>
      </c>
      <c r="E102" s="51"/>
      <c r="F102" s="51"/>
      <c r="G102" s="52">
        <f>D102</f>
        <v>24</v>
      </c>
      <c r="H102" s="53" t="s">
        <v>14</v>
      </c>
      <c r="I102" s="67"/>
      <c r="J102" s="49"/>
      <c r="K102" s="50"/>
      <c r="L102" s="39">
        <f>K102*0</f>
        <v>0</v>
      </c>
      <c r="M102" s="40">
        <f>K102*0</f>
        <v>0</v>
      </c>
      <c r="N102" s="41">
        <f>K102*1</f>
        <v>0</v>
      </c>
      <c r="O102" s="42"/>
    </row>
    <row r="103" spans="1:15" x14ac:dyDescent="0.35">
      <c r="A103" s="129">
        <v>7336</v>
      </c>
      <c r="B103" s="130" t="s">
        <v>123</v>
      </c>
      <c r="C103" s="45" t="s">
        <v>28</v>
      </c>
      <c r="D103" s="46">
        <v>234425.16</v>
      </c>
      <c r="E103" s="51">
        <f>D103*0.4</f>
        <v>93770.064000000013</v>
      </c>
      <c r="F103" s="47">
        <f>D103*0.1</f>
        <v>23442.516000000003</v>
      </c>
      <c r="G103" s="47">
        <f>D103*0.5</f>
        <v>117212.58</v>
      </c>
      <c r="H103" s="53"/>
      <c r="I103" s="67"/>
      <c r="J103" s="49"/>
      <c r="K103" s="50"/>
      <c r="L103" s="39">
        <f t="shared" si="27"/>
        <v>0</v>
      </c>
      <c r="M103" s="40">
        <f t="shared" si="28"/>
        <v>0</v>
      </c>
      <c r="N103" s="41">
        <f t="shared" si="29"/>
        <v>0</v>
      </c>
      <c r="O103" s="42"/>
    </row>
    <row r="104" spans="1:15" x14ac:dyDescent="0.35">
      <c r="A104" s="129">
        <v>7831</v>
      </c>
      <c r="B104" s="130" t="s">
        <v>124</v>
      </c>
      <c r="C104" s="45" t="s">
        <v>28</v>
      </c>
      <c r="D104" s="46">
        <v>87176.56</v>
      </c>
      <c r="E104" s="51">
        <f>D104*0.1</f>
        <v>8717.6560000000009</v>
      </c>
      <c r="F104" s="51"/>
      <c r="G104" s="52">
        <f>D104*0.9</f>
        <v>78458.903999999995</v>
      </c>
      <c r="H104" s="53" t="s">
        <v>41</v>
      </c>
      <c r="I104" s="67"/>
      <c r="J104" s="49"/>
      <c r="K104" s="50"/>
      <c r="L104" s="39">
        <f>K104*0.1</f>
        <v>0</v>
      </c>
      <c r="M104" s="40">
        <f>K104*0</f>
        <v>0</v>
      </c>
      <c r="N104" s="41">
        <f>K104*0.9</f>
        <v>0</v>
      </c>
      <c r="O104" s="42"/>
    </row>
    <row r="105" spans="1:15" x14ac:dyDescent="0.35">
      <c r="A105" s="129">
        <v>6035</v>
      </c>
      <c r="B105" s="130" t="s">
        <v>125</v>
      </c>
      <c r="C105" s="45" t="s">
        <v>28</v>
      </c>
      <c r="D105" s="46">
        <v>30.01</v>
      </c>
      <c r="E105" s="51"/>
      <c r="F105" s="51"/>
      <c r="G105" s="52">
        <f>D105</f>
        <v>30.01</v>
      </c>
      <c r="H105" s="53" t="s">
        <v>14</v>
      </c>
      <c r="I105" s="67"/>
      <c r="J105" s="49"/>
      <c r="K105" s="50"/>
      <c r="L105" s="39">
        <f>K105*0</f>
        <v>0</v>
      </c>
      <c r="M105" s="40">
        <f>K105*0</f>
        <v>0</v>
      </c>
      <c r="N105" s="41">
        <f>K105*1</f>
        <v>0</v>
      </c>
      <c r="O105" s="42"/>
    </row>
    <row r="106" spans="1:15" x14ac:dyDescent="0.35">
      <c r="A106" s="129">
        <v>6265</v>
      </c>
      <c r="B106" s="130" t="s">
        <v>355</v>
      </c>
      <c r="C106" s="45" t="s">
        <v>28</v>
      </c>
      <c r="D106" s="46">
        <v>24.01</v>
      </c>
      <c r="E106" s="51">
        <f t="shared" ref="E106:E108" si="37">D106*0.4</f>
        <v>9.604000000000001</v>
      </c>
      <c r="F106" s="47">
        <f t="shared" ref="F106:F108" si="38">D106*0.1</f>
        <v>2.4010000000000002</v>
      </c>
      <c r="G106" s="47">
        <f t="shared" ref="G106:G108" si="39">D106*0.5</f>
        <v>12.005000000000001</v>
      </c>
      <c r="H106" s="53"/>
      <c r="I106" s="67"/>
      <c r="J106" s="49"/>
      <c r="K106" s="50"/>
      <c r="L106" s="39"/>
      <c r="M106" s="40"/>
      <c r="N106" s="41"/>
      <c r="O106" s="42"/>
    </row>
    <row r="107" spans="1:15" x14ac:dyDescent="0.35">
      <c r="A107" s="129">
        <v>9557</v>
      </c>
      <c r="B107" s="130" t="s">
        <v>356</v>
      </c>
      <c r="C107" s="45" t="s">
        <v>28</v>
      </c>
      <c r="D107" s="46">
        <v>20.010000000000002</v>
      </c>
      <c r="E107" s="51">
        <f t="shared" si="37"/>
        <v>8.0040000000000013</v>
      </c>
      <c r="F107" s="47">
        <f t="shared" si="38"/>
        <v>2.0010000000000003</v>
      </c>
      <c r="G107" s="47">
        <f t="shared" si="39"/>
        <v>10.005000000000001</v>
      </c>
      <c r="H107" s="53"/>
      <c r="I107" s="67"/>
      <c r="J107" s="49"/>
      <c r="K107" s="50"/>
      <c r="L107" s="39"/>
      <c r="M107" s="40"/>
      <c r="N107" s="41"/>
      <c r="O107" s="42"/>
    </row>
    <row r="108" spans="1:15" ht="15" thickBot="1" x14ac:dyDescent="0.4">
      <c r="A108" s="133">
        <v>8862</v>
      </c>
      <c r="B108" s="134" t="s">
        <v>82</v>
      </c>
      <c r="C108" s="45" t="s">
        <v>28</v>
      </c>
      <c r="D108" s="135">
        <v>5157.58</v>
      </c>
      <c r="E108" s="51">
        <f t="shared" si="37"/>
        <v>2063.0320000000002</v>
      </c>
      <c r="F108" s="47">
        <f t="shared" si="38"/>
        <v>515.75800000000004</v>
      </c>
      <c r="G108" s="47">
        <f t="shared" si="39"/>
        <v>2578.79</v>
      </c>
      <c r="H108" s="136"/>
      <c r="I108" s="67"/>
      <c r="J108" s="137"/>
      <c r="K108" s="138"/>
      <c r="L108" s="139"/>
      <c r="M108" s="140"/>
      <c r="N108" s="141"/>
      <c r="O108" s="142"/>
    </row>
    <row r="109" spans="1:15" ht="15.5" thickTop="1" thickBot="1" x14ac:dyDescent="0.4">
      <c r="A109" s="54"/>
      <c r="B109" s="54"/>
      <c r="C109" s="55" t="s">
        <v>22</v>
      </c>
      <c r="D109" s="56">
        <f>SUM(D4:D108)</f>
        <v>27588708.890000008</v>
      </c>
      <c r="E109" s="57">
        <f>SUM(E4:E108)</f>
        <v>6014019.2100000028</v>
      </c>
      <c r="F109" s="57">
        <f>SUM(F4:F108)</f>
        <v>1460164.6170000006</v>
      </c>
      <c r="G109" s="58">
        <f>SUM(G4:G108)</f>
        <v>20114525.063000001</v>
      </c>
      <c r="H109" s="59"/>
      <c r="I109" s="60">
        <f t="shared" ref="I109:N109" si="40">SUM(I4:I105)</f>
        <v>0</v>
      </c>
      <c r="J109" s="61">
        <f t="shared" si="40"/>
        <v>0</v>
      </c>
      <c r="K109" s="62">
        <f t="shared" si="40"/>
        <v>0</v>
      </c>
      <c r="L109" s="62">
        <f t="shared" si="40"/>
        <v>0</v>
      </c>
      <c r="M109" s="63">
        <f t="shared" si="40"/>
        <v>0</v>
      </c>
      <c r="N109" s="64">
        <f t="shared" si="40"/>
        <v>0</v>
      </c>
      <c r="O109" s="65"/>
    </row>
    <row r="110" spans="1:15" ht="15" thickTop="1" x14ac:dyDescent="0.35"/>
  </sheetData>
  <autoFilter ref="A3:O109" xr:uid="{00000000-0009-0000-0000-000000000000}"/>
  <mergeCells count="9">
    <mergeCell ref="I1:O1"/>
    <mergeCell ref="E2:H2"/>
    <mergeCell ref="I2:N2"/>
    <mergeCell ref="O2:O3"/>
    <mergeCell ref="A1:A3"/>
    <mergeCell ref="B1:B3"/>
    <mergeCell ref="C1:C3"/>
    <mergeCell ref="D1:D3"/>
    <mergeCell ref="E1:H1"/>
  </mergeCells>
  <conditionalFormatting sqref="A1:A1048576">
    <cfRule type="duplicateValues" dxfId="234" priority="1"/>
  </conditionalFormatting>
  <conditionalFormatting sqref="A109:B109">
    <cfRule type="duplicateValues" dxfId="233" priority="4"/>
  </conditionalFormatting>
  <conditionalFormatting sqref="D1">
    <cfRule type="duplicateValues" dxfId="232" priority="3"/>
  </conditionalFormatting>
  <conditionalFormatting sqref="I3">
    <cfRule type="duplicateValues" dxfId="231" priority="2"/>
  </conditionalFormatting>
  <conditionalFormatting sqref="J3:K3">
    <cfRule type="duplicateValues" dxfId="23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13"/>
  <sheetViews>
    <sheetView workbookViewId="0">
      <selection activeCell="E19" sqref="E19"/>
    </sheetView>
  </sheetViews>
  <sheetFormatPr defaultRowHeight="12" x14ac:dyDescent="0.3"/>
  <cols>
    <col min="1" max="1" width="20.88671875" customWidth="1"/>
    <col min="2" max="2" width="16.44140625" bestFit="1" customWidth="1"/>
    <col min="3" max="5" width="15.77734375" style="2" customWidth="1"/>
    <col min="6" max="6" width="14.77734375" customWidth="1"/>
    <col min="7" max="7" width="19.33203125" customWidth="1"/>
    <col min="8" max="8" width="20.5546875" customWidth="1"/>
    <col min="9" max="9" width="21.44140625" bestFit="1" customWidth="1"/>
  </cols>
  <sheetData>
    <row r="1" spans="1:12" ht="13.5" thickTop="1" x14ac:dyDescent="0.3">
      <c r="A1" s="464" t="s">
        <v>129</v>
      </c>
      <c r="B1" s="467" t="s">
        <v>126</v>
      </c>
      <c r="C1" s="470" t="s">
        <v>438</v>
      </c>
      <c r="D1" s="473" t="s">
        <v>2</v>
      </c>
      <c r="E1" s="474"/>
      <c r="F1" s="475"/>
      <c r="G1" s="476" t="s">
        <v>16</v>
      </c>
      <c r="H1" s="477"/>
      <c r="I1" s="478"/>
    </row>
    <row r="2" spans="1:12" ht="15.5" customHeight="1" x14ac:dyDescent="0.3">
      <c r="A2" s="465"/>
      <c r="B2" s="468"/>
      <c r="C2" s="471"/>
      <c r="D2" s="479" t="s">
        <v>0</v>
      </c>
      <c r="E2" s="481" t="s">
        <v>4</v>
      </c>
      <c r="F2" s="483" t="s">
        <v>5</v>
      </c>
      <c r="G2" s="485" t="s">
        <v>0</v>
      </c>
      <c r="H2" s="487" t="s">
        <v>4</v>
      </c>
      <c r="I2" s="462" t="s">
        <v>5</v>
      </c>
    </row>
    <row r="3" spans="1:12" ht="12.5" thickBot="1" x14ac:dyDescent="0.35">
      <c r="A3" s="466"/>
      <c r="B3" s="469"/>
      <c r="C3" s="472"/>
      <c r="D3" s="480"/>
      <c r="E3" s="482"/>
      <c r="F3" s="484"/>
      <c r="G3" s="486"/>
      <c r="H3" s="488"/>
      <c r="I3" s="463"/>
    </row>
    <row r="4" spans="1:12" ht="15" thickTop="1" x14ac:dyDescent="0.35">
      <c r="A4" s="199">
        <v>154102000014293</v>
      </c>
      <c r="B4" s="200" t="s">
        <v>437</v>
      </c>
      <c r="C4" s="227">
        <f>VLOOKUP(A4,'[1]Call Signiture'!$A$2:$B$3,2,FALSE)</f>
        <v>17102606.940000001</v>
      </c>
      <c r="D4" s="201">
        <f>C4*0.4</f>
        <v>6841042.7760000005</v>
      </c>
      <c r="E4" s="202">
        <f>C4*0.6</f>
        <v>10261564.164000001</v>
      </c>
      <c r="F4" s="203"/>
      <c r="G4" s="204">
        <f>C4*0.4</f>
        <v>6841042.7760000005</v>
      </c>
      <c r="H4" s="205">
        <f>C4*0.6</f>
        <v>10261564.164000001</v>
      </c>
      <c r="I4" s="206" t="s">
        <v>114</v>
      </c>
      <c r="J4" s="207"/>
      <c r="K4" s="207"/>
      <c r="L4" s="207"/>
    </row>
    <row r="5" spans="1:12" ht="15" thickBot="1" x14ac:dyDescent="0.4">
      <c r="A5" s="208">
        <v>154102000014294</v>
      </c>
      <c r="B5" s="200" t="s">
        <v>437</v>
      </c>
      <c r="C5" s="227">
        <f>VLOOKUP(A5,'[1]Call Signiture'!$A$2:$B$3,2,FALSE)</f>
        <v>40784742.009999998</v>
      </c>
      <c r="D5" s="209">
        <f>C5*0.4</f>
        <v>16313896.804</v>
      </c>
      <c r="E5" s="210">
        <f>C5*0.6</f>
        <v>24470845.205999997</v>
      </c>
      <c r="F5" s="211"/>
      <c r="G5" s="212">
        <f>C5*0.4</f>
        <v>16313896.804</v>
      </c>
      <c r="H5" s="213">
        <f>C5*0.6</f>
        <v>24470845.205999997</v>
      </c>
      <c r="I5" s="214" t="s">
        <v>114</v>
      </c>
      <c r="J5" s="207"/>
      <c r="K5" s="207"/>
      <c r="L5" s="207"/>
    </row>
    <row r="6" spans="1:12" ht="15.5" thickTop="1" thickBot="1" x14ac:dyDescent="0.4">
      <c r="A6" s="215"/>
      <c r="B6" s="216" t="s">
        <v>132</v>
      </c>
      <c r="C6" s="217">
        <f>SUM(C4:C5)</f>
        <v>57887348.950000003</v>
      </c>
      <c r="D6" s="218">
        <f>SUM(D4:D5)</f>
        <v>23154939.579999998</v>
      </c>
      <c r="E6" s="219">
        <f>SUM(E4:E5)</f>
        <v>34732409.369999997</v>
      </c>
      <c r="F6" s="220"/>
      <c r="G6" s="221">
        <f>SUM(G4:G5)</f>
        <v>23154939.579999998</v>
      </c>
      <c r="H6" s="222">
        <f>SUM(H4:H5)</f>
        <v>34732409.369999997</v>
      </c>
      <c r="I6" s="223"/>
    </row>
    <row r="7" spans="1:12" ht="12.5" thickTop="1" x14ac:dyDescent="0.3">
      <c r="A7" s="224"/>
      <c r="B7" s="224"/>
      <c r="C7" s="225"/>
      <c r="D7" s="225"/>
      <c r="E7" s="225"/>
    </row>
    <row r="8" spans="1:12" x14ac:dyDescent="0.3">
      <c r="A8" s="224"/>
      <c r="B8" s="224"/>
      <c r="C8" s="225"/>
      <c r="D8" s="225"/>
      <c r="E8" s="225"/>
      <c r="F8" s="225"/>
      <c r="G8" s="225"/>
      <c r="H8" s="225"/>
    </row>
    <row r="9" spans="1:12" x14ac:dyDescent="0.3">
      <c r="A9" s="224"/>
      <c r="B9" s="224"/>
      <c r="C9" s="224"/>
      <c r="D9" s="224"/>
      <c r="E9" s="224"/>
      <c r="F9" s="225"/>
      <c r="G9" s="225"/>
      <c r="H9" s="225"/>
      <c r="I9" s="2"/>
    </row>
    <row r="10" spans="1:12" x14ac:dyDescent="0.3">
      <c r="A10" s="224"/>
      <c r="B10" s="224"/>
      <c r="C10" s="224"/>
      <c r="D10" s="224"/>
      <c r="E10" s="224"/>
      <c r="G10" s="207"/>
    </row>
    <row r="11" spans="1:12" x14ac:dyDescent="0.3">
      <c r="C11" s="225"/>
      <c r="D11" s="225"/>
      <c r="E11" s="225"/>
    </row>
    <row r="12" spans="1:12" x14ac:dyDescent="0.3">
      <c r="C12" s="226"/>
      <c r="D12" s="226"/>
      <c r="E12" s="226"/>
    </row>
    <row r="13" spans="1:12" x14ac:dyDescent="0.3">
      <c r="C13" s="226"/>
      <c r="D13" s="226"/>
      <c r="E13" s="226"/>
    </row>
  </sheetData>
  <mergeCells count="11">
    <mergeCell ref="I2:I3"/>
    <mergeCell ref="A1:A3"/>
    <mergeCell ref="B1:B3"/>
    <mergeCell ref="C1:C3"/>
    <mergeCell ref="D1:F1"/>
    <mergeCell ref="G1:I1"/>
    <mergeCell ref="D2:D3"/>
    <mergeCell ref="E2:E3"/>
    <mergeCell ref="F2:F3"/>
    <mergeCell ref="G2:G3"/>
    <mergeCell ref="H2:H3"/>
  </mergeCells>
  <conditionalFormatting sqref="A1">
    <cfRule type="duplicateValues" dxfId="229" priority="3"/>
    <cfRule type="duplicateValues" dxfId="228" priority="4"/>
    <cfRule type="duplicateValues" dxfId="227" priority="5"/>
    <cfRule type="duplicateValues" dxfId="226" priority="6"/>
    <cfRule type="duplicateValues" dxfId="225" priority="7"/>
  </conditionalFormatting>
  <conditionalFormatting sqref="A4:A5">
    <cfRule type="duplicateValues" dxfId="224" priority="16"/>
    <cfRule type="duplicateValues" dxfId="223" priority="17"/>
    <cfRule type="duplicateValues" dxfId="222" priority="18"/>
    <cfRule type="duplicateValues" dxfId="221" priority="19"/>
  </conditionalFormatting>
  <conditionalFormatting sqref="A6">
    <cfRule type="duplicateValues" dxfId="220" priority="15"/>
  </conditionalFormatting>
  <conditionalFormatting sqref="A11:A1048576 A1">
    <cfRule type="duplicateValues" dxfId="219" priority="8"/>
  </conditionalFormatting>
  <conditionalFormatting sqref="A11:A1048576">
    <cfRule type="duplicateValues" dxfId="218" priority="9"/>
    <cfRule type="duplicateValues" dxfId="217" priority="10"/>
    <cfRule type="duplicateValues" dxfId="216" priority="11"/>
    <cfRule type="duplicateValues" dxfId="215" priority="12"/>
    <cfRule type="duplicateValues" dxfId="214" priority="13"/>
    <cfRule type="duplicateValues" dxfId="213" priority="14"/>
  </conditionalFormatting>
  <conditionalFormatting sqref="C1">
    <cfRule type="duplicateValues" dxfId="212" priority="1"/>
    <cfRule type="duplicateValues" dxfId="211" priority="2"/>
  </conditionalFormatting>
  <conditionalFormatting sqref="F6">
    <cfRule type="duplicateValues" dxfId="210" priority="20"/>
    <cfRule type="duplicateValues" dxfId="209" priority="21"/>
    <cfRule type="duplicateValues" dxfId="208" priority="2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M284"/>
  <sheetViews>
    <sheetView workbookViewId="0">
      <pane ySplit="4" topLeftCell="A278" activePane="bottomLeft" state="frozen"/>
      <selection activeCell="K5" sqref="K5:K11"/>
      <selection pane="bottomLeft" activeCell="B290" sqref="B290"/>
    </sheetView>
  </sheetViews>
  <sheetFormatPr defaultRowHeight="12" x14ac:dyDescent="0.3"/>
  <cols>
    <col min="1" max="1" width="23.21875" bestFit="1" customWidth="1"/>
    <col min="2" max="2" width="63.6640625" customWidth="1"/>
    <col min="3" max="3" width="16.33203125" style="2" customWidth="1"/>
    <col min="4" max="4" width="13.109375" style="2" customWidth="1"/>
    <col min="5" max="5" width="12.6640625" style="2" customWidth="1"/>
    <col min="6" max="6" width="13.33203125" style="2" customWidth="1"/>
    <col min="7" max="7" width="22.88671875" style="2" customWidth="1"/>
    <col min="8" max="8" width="22.21875" customWidth="1"/>
    <col min="9" max="9" width="17.109375" bestFit="1" customWidth="1"/>
    <col min="10" max="10" width="18.21875" bestFit="1" customWidth="1"/>
    <col min="11" max="12" width="17.109375" customWidth="1"/>
    <col min="13" max="13" width="16.6640625" customWidth="1"/>
  </cols>
  <sheetData>
    <row r="1" spans="1:13" ht="13" customHeight="1" thickTop="1" thickBot="1" x14ac:dyDescent="0.35">
      <c r="A1" s="415" t="s">
        <v>129</v>
      </c>
      <c r="B1" s="418" t="s">
        <v>126</v>
      </c>
      <c r="C1" s="421" t="s">
        <v>15</v>
      </c>
      <c r="D1" s="421"/>
      <c r="E1" s="421"/>
      <c r="F1" s="421"/>
      <c r="G1" s="421"/>
      <c r="H1" s="421"/>
      <c r="I1" s="421"/>
      <c r="J1" s="421"/>
      <c r="K1" s="421"/>
      <c r="L1" s="421"/>
      <c r="M1" s="422"/>
    </row>
    <row r="2" spans="1:13" ht="15" customHeight="1" thickTop="1" x14ac:dyDescent="0.35">
      <c r="A2" s="416"/>
      <c r="B2" s="419"/>
      <c r="C2" s="423" t="s">
        <v>352</v>
      </c>
      <c r="D2" s="489" t="s">
        <v>2</v>
      </c>
      <c r="E2" s="489"/>
      <c r="F2" s="489"/>
      <c r="G2" s="490"/>
      <c r="H2" s="428" t="s">
        <v>16</v>
      </c>
      <c r="I2" s="429"/>
      <c r="J2" s="430"/>
      <c r="K2" s="430"/>
      <c r="L2" s="430"/>
      <c r="M2" s="431"/>
    </row>
    <row r="3" spans="1:13" ht="13" x14ac:dyDescent="0.3">
      <c r="A3" s="416"/>
      <c r="B3" s="419"/>
      <c r="C3" s="424"/>
      <c r="D3" s="491" t="s">
        <v>17</v>
      </c>
      <c r="E3" s="493" t="s">
        <v>18</v>
      </c>
      <c r="F3" s="493" t="s">
        <v>19</v>
      </c>
      <c r="G3" s="495" t="s">
        <v>5</v>
      </c>
      <c r="H3" s="404" t="s">
        <v>17</v>
      </c>
      <c r="I3" s="406" t="s">
        <v>18</v>
      </c>
      <c r="J3" s="408" t="s">
        <v>19</v>
      </c>
      <c r="K3" s="409"/>
      <c r="L3" s="410"/>
      <c r="M3" s="411" t="s">
        <v>5</v>
      </c>
    </row>
    <row r="4" spans="1:13" ht="23.5" thickBot="1" x14ac:dyDescent="0.35">
      <c r="A4" s="417"/>
      <c r="B4" s="420"/>
      <c r="C4" s="425"/>
      <c r="D4" s="492"/>
      <c r="E4" s="494"/>
      <c r="F4" s="494"/>
      <c r="G4" s="496"/>
      <c r="H4" s="405"/>
      <c r="I4" s="407"/>
      <c r="J4" s="93" t="s">
        <v>130</v>
      </c>
      <c r="K4" s="94" t="s">
        <v>133</v>
      </c>
      <c r="L4" s="95" t="s">
        <v>131</v>
      </c>
      <c r="M4" s="412"/>
    </row>
    <row r="5" spans="1:13" ht="14.5" thickTop="1" x14ac:dyDescent="0.3">
      <c r="A5" s="96">
        <v>153352000014279</v>
      </c>
      <c r="B5" s="97" t="s">
        <v>134</v>
      </c>
      <c r="C5" s="87">
        <v>36403238.310000002</v>
      </c>
      <c r="D5" s="88">
        <f t="shared" ref="D5:D6" si="0">C5*0.24</f>
        <v>8736777.1943999995</v>
      </c>
      <c r="E5" s="89">
        <f t="shared" ref="E5:E6" si="1">C5*0.06</f>
        <v>2184194.2985999999</v>
      </c>
      <c r="F5" s="89">
        <f t="shared" ref="F5:F6" si="2">C5*0.7</f>
        <v>25482266.817000002</v>
      </c>
      <c r="G5" s="82" t="s">
        <v>135</v>
      </c>
      <c r="H5" s="83"/>
      <c r="I5" s="98"/>
      <c r="J5" s="84"/>
      <c r="K5" s="85"/>
      <c r="L5" s="86"/>
      <c r="M5" s="99" t="s">
        <v>114</v>
      </c>
    </row>
    <row r="6" spans="1:13" ht="14" x14ac:dyDescent="0.3">
      <c r="A6" s="100">
        <v>154222000014499</v>
      </c>
      <c r="B6" s="101" t="s">
        <v>136</v>
      </c>
      <c r="C6" s="87">
        <v>19322933.059999999</v>
      </c>
      <c r="D6" s="88">
        <f t="shared" si="0"/>
        <v>4637503.9343999997</v>
      </c>
      <c r="E6" s="89">
        <f t="shared" si="1"/>
        <v>1159375.9835999999</v>
      </c>
      <c r="F6" s="89">
        <f t="shared" si="2"/>
        <v>13526053.141999999</v>
      </c>
      <c r="G6" s="90" t="s">
        <v>135</v>
      </c>
      <c r="H6" s="83"/>
      <c r="I6" s="98"/>
      <c r="J6" s="84"/>
      <c r="K6" s="85"/>
      <c r="L6" s="86"/>
      <c r="M6" s="99" t="s">
        <v>114</v>
      </c>
    </row>
    <row r="7" spans="1:13" ht="14" x14ac:dyDescent="0.3">
      <c r="A7" s="100">
        <v>154312000014334</v>
      </c>
      <c r="B7" s="101" t="s">
        <v>137</v>
      </c>
      <c r="C7" s="87">
        <v>13698367.59</v>
      </c>
      <c r="D7" s="88">
        <f>C7*0.34</f>
        <v>4657444.9806000004</v>
      </c>
      <c r="E7" s="89">
        <f>C7*0.06</f>
        <v>821902.05539999995</v>
      </c>
      <c r="F7" s="89">
        <f>C7*0.6</f>
        <v>8219020.5539999995</v>
      </c>
      <c r="G7" s="90" t="s">
        <v>138</v>
      </c>
      <c r="H7" s="83"/>
      <c r="I7" s="98"/>
      <c r="J7" s="102"/>
      <c r="K7" s="85"/>
      <c r="L7" s="86"/>
      <c r="M7" s="99" t="s">
        <v>114</v>
      </c>
    </row>
    <row r="8" spans="1:13" ht="14" x14ac:dyDescent="0.3">
      <c r="A8" s="100">
        <v>42822000002838</v>
      </c>
      <c r="B8" s="101" t="s">
        <v>139</v>
      </c>
      <c r="C8" s="87">
        <v>11683110.33</v>
      </c>
      <c r="D8" s="88"/>
      <c r="E8" s="89"/>
      <c r="F8" s="89">
        <f>C8</f>
        <v>11683110.33</v>
      </c>
      <c r="G8" s="90" t="s">
        <v>14</v>
      </c>
      <c r="H8" s="83"/>
      <c r="I8" s="98"/>
      <c r="J8" s="102"/>
      <c r="K8" s="85"/>
      <c r="L8" s="86"/>
      <c r="M8" s="99" t="s">
        <v>114</v>
      </c>
    </row>
    <row r="9" spans="1:13" ht="14" x14ac:dyDescent="0.3">
      <c r="A9" s="100">
        <v>133282000014546</v>
      </c>
      <c r="B9" s="101" t="s">
        <v>140</v>
      </c>
      <c r="C9" s="87">
        <v>10152546.560000001</v>
      </c>
      <c r="D9" s="88">
        <f>C9*0.4</f>
        <v>4061018.6240000003</v>
      </c>
      <c r="E9" s="89">
        <f>C9*0.1</f>
        <v>1015254.6560000001</v>
      </c>
      <c r="F9" s="89">
        <f>C9*0.5</f>
        <v>5076273.28</v>
      </c>
      <c r="G9" s="90"/>
      <c r="H9" s="83"/>
      <c r="I9" s="98"/>
      <c r="J9" s="102"/>
      <c r="K9" s="85"/>
      <c r="L9" s="86"/>
      <c r="M9" s="99" t="s">
        <v>114</v>
      </c>
    </row>
    <row r="10" spans="1:13" ht="14" x14ac:dyDescent="0.3">
      <c r="A10" s="100">
        <v>154222000014491</v>
      </c>
      <c r="B10" s="101" t="s">
        <v>136</v>
      </c>
      <c r="C10" s="87">
        <v>8111748.54</v>
      </c>
      <c r="D10" s="88">
        <f>C10*0.24</f>
        <v>1946819.6495999999</v>
      </c>
      <c r="E10" s="89">
        <f>C10*0.06</f>
        <v>486704.91239999997</v>
      </c>
      <c r="F10" s="89">
        <f>C10*0.7</f>
        <v>5678223.9780000001</v>
      </c>
      <c r="G10" s="90" t="s">
        <v>135</v>
      </c>
      <c r="H10" s="83"/>
      <c r="I10" s="98"/>
      <c r="J10" s="84"/>
      <c r="K10" s="85"/>
      <c r="L10" s="86"/>
      <c r="M10" s="99" t="s">
        <v>114</v>
      </c>
    </row>
    <row r="11" spans="1:13" ht="14" x14ac:dyDescent="0.3">
      <c r="A11" s="100">
        <v>151602000014049</v>
      </c>
      <c r="B11" s="101" t="s">
        <v>141</v>
      </c>
      <c r="C11" s="87">
        <v>7381538.2199999997</v>
      </c>
      <c r="D11" s="88">
        <f>C11*0.34</f>
        <v>2509722.9948</v>
      </c>
      <c r="E11" s="89">
        <f>C11*0.06</f>
        <v>442892.29319999996</v>
      </c>
      <c r="F11" s="89">
        <f>C11*0.6</f>
        <v>4428922.932</v>
      </c>
      <c r="G11" s="90" t="s">
        <v>138</v>
      </c>
      <c r="H11" s="83"/>
      <c r="I11" s="98"/>
      <c r="J11" s="102"/>
      <c r="K11" s="85"/>
      <c r="L11" s="86"/>
      <c r="M11" s="99" t="s">
        <v>114</v>
      </c>
    </row>
    <row r="12" spans="1:13" ht="14" x14ac:dyDescent="0.3">
      <c r="A12" s="100">
        <v>133282000010590</v>
      </c>
      <c r="B12" s="101" t="s">
        <v>140</v>
      </c>
      <c r="C12" s="87">
        <v>5664747.1299999999</v>
      </c>
      <c r="D12" s="88">
        <f>C12*0.4</f>
        <v>2265898.852</v>
      </c>
      <c r="E12" s="89">
        <f>C12*0.1</f>
        <v>566474.71299999999</v>
      </c>
      <c r="F12" s="89">
        <f>C12*0.5</f>
        <v>2832373.5649999999</v>
      </c>
      <c r="G12" s="90"/>
      <c r="H12" s="83"/>
      <c r="I12" s="98"/>
      <c r="J12" s="102"/>
      <c r="K12" s="85"/>
      <c r="L12" s="86"/>
      <c r="M12" s="99" t="s">
        <v>114</v>
      </c>
    </row>
    <row r="13" spans="1:13" ht="14" x14ac:dyDescent="0.3">
      <c r="A13" s="100">
        <v>300039200007039</v>
      </c>
      <c r="B13" s="101" t="s">
        <v>142</v>
      </c>
      <c r="C13" s="87">
        <v>6652513.4900000002</v>
      </c>
      <c r="D13" s="88">
        <f>C13*0.24</f>
        <v>1596603.2376000001</v>
      </c>
      <c r="E13" s="89">
        <f>C13*0.06</f>
        <v>399150.80940000003</v>
      </c>
      <c r="F13" s="89">
        <f>C13*0.7</f>
        <v>4656759.443</v>
      </c>
      <c r="G13" s="90" t="s">
        <v>135</v>
      </c>
      <c r="H13" s="83"/>
      <c r="I13" s="98"/>
      <c r="J13" s="84"/>
      <c r="K13" s="85"/>
      <c r="L13" s="86"/>
      <c r="M13" s="99" t="s">
        <v>114</v>
      </c>
    </row>
    <row r="14" spans="1:13" ht="14" x14ac:dyDescent="0.3">
      <c r="A14" s="100">
        <v>151602000014600</v>
      </c>
      <c r="B14" s="101" t="s">
        <v>141</v>
      </c>
      <c r="C14" s="87">
        <v>3533261.66</v>
      </c>
      <c r="D14" s="88">
        <f>C14*0.34</f>
        <v>1201308.9644000002</v>
      </c>
      <c r="E14" s="89">
        <f>C14*0.06</f>
        <v>211995.69959999999</v>
      </c>
      <c r="F14" s="89">
        <f>C14*0.6</f>
        <v>2119956.9959999998</v>
      </c>
      <c r="G14" s="90" t="s">
        <v>138</v>
      </c>
      <c r="H14" s="83"/>
      <c r="I14" s="98"/>
      <c r="J14" s="102"/>
      <c r="K14" s="85"/>
      <c r="L14" s="86"/>
      <c r="M14" s="99" t="s">
        <v>114</v>
      </c>
    </row>
    <row r="15" spans="1:13" ht="14" x14ac:dyDescent="0.3">
      <c r="A15" s="100">
        <v>154222000014364</v>
      </c>
      <c r="B15" s="101" t="s">
        <v>136</v>
      </c>
      <c r="C15" s="87">
        <v>2791954.4</v>
      </c>
      <c r="D15" s="88">
        <f t="shared" ref="D15:D26" si="3">C15*0.4</f>
        <v>1116781.76</v>
      </c>
      <c r="E15" s="89">
        <f t="shared" ref="E15:E26" si="4">C15*0.1</f>
        <v>279195.44</v>
      </c>
      <c r="F15" s="89">
        <f t="shared" ref="F15:F26" si="5">C15*0.5</f>
        <v>1395977.2</v>
      </c>
      <c r="G15" s="90"/>
      <c r="H15" s="83"/>
      <c r="I15" s="98"/>
      <c r="J15" s="102"/>
      <c r="K15" s="85"/>
      <c r="L15" s="86"/>
      <c r="M15" s="99" t="s">
        <v>114</v>
      </c>
    </row>
    <row r="16" spans="1:13" ht="14" x14ac:dyDescent="0.3">
      <c r="A16" s="100">
        <v>156362000014526</v>
      </c>
      <c r="B16" s="101" t="s">
        <v>143</v>
      </c>
      <c r="C16" s="87">
        <v>2999144.69</v>
      </c>
      <c r="D16" s="88">
        <f t="shared" si="3"/>
        <v>1199657.8759999999</v>
      </c>
      <c r="E16" s="89">
        <f t="shared" si="4"/>
        <v>299914.46899999998</v>
      </c>
      <c r="F16" s="89">
        <f t="shared" si="5"/>
        <v>1499572.345</v>
      </c>
      <c r="G16" s="90"/>
      <c r="H16" s="83"/>
      <c r="I16" s="98"/>
      <c r="J16" s="102"/>
      <c r="K16" s="85"/>
      <c r="L16" s="86"/>
      <c r="M16" s="99" t="s">
        <v>114</v>
      </c>
    </row>
    <row r="17" spans="1:13" ht="14" x14ac:dyDescent="0.3">
      <c r="A17" s="100">
        <v>156342000014525</v>
      </c>
      <c r="B17" s="101" t="s">
        <v>144</v>
      </c>
      <c r="C17" s="87">
        <v>2394398.9</v>
      </c>
      <c r="D17" s="88">
        <f t="shared" si="3"/>
        <v>957759.56</v>
      </c>
      <c r="E17" s="89">
        <f t="shared" si="4"/>
        <v>239439.89</v>
      </c>
      <c r="F17" s="89">
        <f t="shared" si="5"/>
        <v>1197199.45</v>
      </c>
      <c r="G17" s="90"/>
      <c r="H17" s="83"/>
      <c r="I17" s="98"/>
      <c r="J17" s="102"/>
      <c r="K17" s="85"/>
      <c r="L17" s="86"/>
      <c r="M17" s="99" t="s">
        <v>114</v>
      </c>
    </row>
    <row r="18" spans="1:13" ht="14" x14ac:dyDescent="0.3">
      <c r="A18" s="100">
        <v>104032000005033</v>
      </c>
      <c r="B18" s="101" t="s">
        <v>145</v>
      </c>
      <c r="C18" s="87">
        <v>2333145.9899999998</v>
      </c>
      <c r="D18" s="88">
        <f t="shared" si="3"/>
        <v>933258.39599999995</v>
      </c>
      <c r="E18" s="89">
        <f t="shared" si="4"/>
        <v>233314.59899999999</v>
      </c>
      <c r="F18" s="89">
        <f t="shared" si="5"/>
        <v>1166572.9949999999</v>
      </c>
      <c r="G18" s="90"/>
      <c r="H18" s="83"/>
      <c r="I18" s="98"/>
      <c r="J18" s="102"/>
      <c r="K18" s="85"/>
      <c r="L18" s="86"/>
      <c r="M18" s="99" t="s">
        <v>114</v>
      </c>
    </row>
    <row r="19" spans="1:13" ht="14" x14ac:dyDescent="0.3">
      <c r="A19" s="100">
        <v>151112000014014</v>
      </c>
      <c r="B19" s="101" t="s">
        <v>146</v>
      </c>
      <c r="C19" s="87">
        <v>2060645.81</v>
      </c>
      <c r="D19" s="88">
        <f t="shared" si="3"/>
        <v>824258.32400000002</v>
      </c>
      <c r="E19" s="89">
        <f t="shared" si="4"/>
        <v>206064.58100000001</v>
      </c>
      <c r="F19" s="89">
        <f t="shared" si="5"/>
        <v>1030322.905</v>
      </c>
      <c r="G19" s="90"/>
      <c r="H19" s="83"/>
      <c r="I19" s="98"/>
      <c r="J19" s="102"/>
      <c r="K19" s="85"/>
      <c r="L19" s="86"/>
      <c r="M19" s="99" t="s">
        <v>114</v>
      </c>
    </row>
    <row r="20" spans="1:13" ht="14" x14ac:dyDescent="0.3">
      <c r="A20" s="100">
        <v>115042000005888</v>
      </c>
      <c r="B20" s="101" t="s">
        <v>147</v>
      </c>
      <c r="C20" s="87">
        <v>2166400.81</v>
      </c>
      <c r="D20" s="88">
        <f t="shared" si="3"/>
        <v>866560.32400000002</v>
      </c>
      <c r="E20" s="89">
        <f t="shared" si="4"/>
        <v>216640.08100000001</v>
      </c>
      <c r="F20" s="89">
        <f t="shared" si="5"/>
        <v>1083200.405</v>
      </c>
      <c r="G20" s="90"/>
      <c r="H20" s="83"/>
      <c r="I20" s="98"/>
      <c r="J20" s="102"/>
      <c r="K20" s="85"/>
      <c r="L20" s="86"/>
      <c r="M20" s="99" t="s">
        <v>114</v>
      </c>
    </row>
    <row r="21" spans="1:13" ht="14" x14ac:dyDescent="0.3">
      <c r="A21" s="100">
        <v>151682000014136</v>
      </c>
      <c r="B21" s="101" t="s">
        <v>137</v>
      </c>
      <c r="C21" s="87">
        <v>2147473.21</v>
      </c>
      <c r="D21" s="88">
        <f t="shared" si="3"/>
        <v>858989.28399999999</v>
      </c>
      <c r="E21" s="89">
        <f t="shared" si="4"/>
        <v>214747.321</v>
      </c>
      <c r="F21" s="89">
        <f t="shared" si="5"/>
        <v>1073736.605</v>
      </c>
      <c r="G21" s="90"/>
      <c r="H21" s="83"/>
      <c r="I21" s="98"/>
      <c r="J21" s="102"/>
      <c r="K21" s="85"/>
      <c r="L21" s="86"/>
      <c r="M21" s="99" t="s">
        <v>114</v>
      </c>
    </row>
    <row r="22" spans="1:13" ht="14" x14ac:dyDescent="0.3">
      <c r="A22" s="100">
        <v>104032000004911</v>
      </c>
      <c r="B22" s="101" t="s">
        <v>145</v>
      </c>
      <c r="C22" s="87">
        <v>1926216.8</v>
      </c>
      <c r="D22" s="88">
        <f t="shared" si="3"/>
        <v>770486.72000000009</v>
      </c>
      <c r="E22" s="89">
        <f t="shared" si="4"/>
        <v>192621.68000000002</v>
      </c>
      <c r="F22" s="89">
        <f t="shared" si="5"/>
        <v>963108.4</v>
      </c>
      <c r="G22" s="90"/>
      <c r="H22" s="83"/>
      <c r="I22" s="98"/>
      <c r="J22" s="102"/>
      <c r="K22" s="85"/>
      <c r="L22" s="86"/>
      <c r="M22" s="99" t="s">
        <v>114</v>
      </c>
    </row>
    <row r="23" spans="1:13" ht="14" x14ac:dyDescent="0.3">
      <c r="A23" s="100">
        <v>156062000014506</v>
      </c>
      <c r="B23" s="101" t="s">
        <v>148</v>
      </c>
      <c r="C23" s="87">
        <v>1806142.93</v>
      </c>
      <c r="D23" s="88">
        <f t="shared" si="3"/>
        <v>722457.17200000002</v>
      </c>
      <c r="E23" s="89">
        <f t="shared" si="4"/>
        <v>180614.29300000001</v>
      </c>
      <c r="F23" s="89">
        <f t="shared" si="5"/>
        <v>903071.46499999997</v>
      </c>
      <c r="G23" s="90"/>
      <c r="H23" s="83"/>
      <c r="I23" s="98"/>
      <c r="J23" s="102"/>
      <c r="K23" s="85"/>
      <c r="L23" s="86"/>
      <c r="M23" s="99" t="s">
        <v>114</v>
      </c>
    </row>
    <row r="24" spans="1:13" ht="14" x14ac:dyDescent="0.3">
      <c r="A24" s="100">
        <v>109052000005588</v>
      </c>
      <c r="B24" s="101" t="s">
        <v>149</v>
      </c>
      <c r="C24" s="87">
        <v>1809238.47</v>
      </c>
      <c r="D24" s="88">
        <f t="shared" si="3"/>
        <v>723695.38800000004</v>
      </c>
      <c r="E24" s="89">
        <f t="shared" si="4"/>
        <v>180923.84700000001</v>
      </c>
      <c r="F24" s="89">
        <f t="shared" si="5"/>
        <v>904619.23499999999</v>
      </c>
      <c r="G24" s="90"/>
      <c r="H24" s="83"/>
      <c r="I24" s="98"/>
      <c r="J24" s="102"/>
      <c r="K24" s="85"/>
      <c r="L24" s="86"/>
      <c r="M24" s="99" t="s">
        <v>114</v>
      </c>
    </row>
    <row r="25" spans="1:13" ht="14" x14ac:dyDescent="0.3">
      <c r="A25" s="100">
        <v>151652000014053</v>
      </c>
      <c r="B25" s="101" t="s">
        <v>150</v>
      </c>
      <c r="C25" s="87">
        <v>1939531.8</v>
      </c>
      <c r="D25" s="88">
        <f t="shared" si="3"/>
        <v>775812.72000000009</v>
      </c>
      <c r="E25" s="89">
        <f t="shared" si="4"/>
        <v>193953.18000000002</v>
      </c>
      <c r="F25" s="89">
        <f t="shared" si="5"/>
        <v>969765.9</v>
      </c>
      <c r="G25" s="90"/>
      <c r="H25" s="83"/>
      <c r="I25" s="98"/>
      <c r="J25" s="102"/>
      <c r="K25" s="85"/>
      <c r="L25" s="86"/>
      <c r="M25" s="99" t="s">
        <v>114</v>
      </c>
    </row>
    <row r="26" spans="1:13" ht="14" x14ac:dyDescent="0.3">
      <c r="A26" s="100">
        <v>300089200007089</v>
      </c>
      <c r="B26" s="101" t="s">
        <v>151</v>
      </c>
      <c r="C26" s="87">
        <v>2816021.3099999996</v>
      </c>
      <c r="D26" s="88">
        <f t="shared" si="3"/>
        <v>1126408.524</v>
      </c>
      <c r="E26" s="89">
        <f t="shared" si="4"/>
        <v>281602.13099999999</v>
      </c>
      <c r="F26" s="89">
        <f t="shared" si="5"/>
        <v>1408010.6549999998</v>
      </c>
      <c r="G26" s="90"/>
      <c r="H26" s="83"/>
      <c r="I26" s="98"/>
      <c r="J26" s="102"/>
      <c r="K26" s="85"/>
      <c r="L26" s="86"/>
      <c r="M26" s="99" t="s">
        <v>114</v>
      </c>
    </row>
    <row r="27" spans="1:13" ht="14" x14ac:dyDescent="0.3">
      <c r="A27" s="100">
        <v>154312000014335</v>
      </c>
      <c r="B27" s="101" t="s">
        <v>137</v>
      </c>
      <c r="C27" s="87">
        <v>1579242.71</v>
      </c>
      <c r="D27" s="88">
        <f>C27*0.34</f>
        <v>536942.52139999997</v>
      </c>
      <c r="E27" s="89">
        <f>C27*0.06</f>
        <v>94754.56259999999</v>
      </c>
      <c r="F27" s="89">
        <f>C27*0.6</f>
        <v>947545.62599999993</v>
      </c>
      <c r="G27" s="90" t="s">
        <v>138</v>
      </c>
      <c r="H27" s="83"/>
      <c r="I27" s="98"/>
      <c r="J27" s="102"/>
      <c r="K27" s="85"/>
      <c r="L27" s="86"/>
      <c r="M27" s="99" t="s">
        <v>114</v>
      </c>
    </row>
    <row r="28" spans="1:13" ht="14" x14ac:dyDescent="0.3">
      <c r="A28" s="100">
        <v>133642000010805</v>
      </c>
      <c r="B28" s="101" t="s">
        <v>152</v>
      </c>
      <c r="C28" s="87">
        <v>1946172.18</v>
      </c>
      <c r="D28" s="88">
        <f t="shared" ref="D28:D32" si="6">C28*0.4</f>
        <v>778468.87199999997</v>
      </c>
      <c r="E28" s="89">
        <f t="shared" ref="E28:E32" si="7">C28*0.1</f>
        <v>194617.21799999999</v>
      </c>
      <c r="F28" s="89">
        <f t="shared" ref="F28:F32" si="8">C28*0.5</f>
        <v>973086.09</v>
      </c>
      <c r="G28" s="90"/>
      <c r="H28" s="83"/>
      <c r="I28" s="98"/>
      <c r="J28" s="102"/>
      <c r="K28" s="85"/>
      <c r="L28" s="86"/>
      <c r="M28" s="99" t="s">
        <v>114</v>
      </c>
    </row>
    <row r="29" spans="1:13" ht="14" x14ac:dyDescent="0.3">
      <c r="A29" s="100">
        <v>102132000005008</v>
      </c>
      <c r="B29" s="101" t="s">
        <v>153</v>
      </c>
      <c r="C29" s="87">
        <v>1711563.66</v>
      </c>
      <c r="D29" s="88">
        <f t="shared" si="6"/>
        <v>684625.46400000004</v>
      </c>
      <c r="E29" s="89">
        <f t="shared" si="7"/>
        <v>171156.36600000001</v>
      </c>
      <c r="F29" s="89">
        <f t="shared" si="8"/>
        <v>855781.83</v>
      </c>
      <c r="G29" s="90"/>
      <c r="H29" s="83"/>
      <c r="I29" s="98"/>
      <c r="J29" s="102"/>
      <c r="K29" s="85"/>
      <c r="L29" s="86"/>
      <c r="M29" s="99" t="s">
        <v>114</v>
      </c>
    </row>
    <row r="30" spans="1:13" ht="14" x14ac:dyDescent="0.3">
      <c r="A30" s="100">
        <v>133292000010809</v>
      </c>
      <c r="B30" s="101" t="s">
        <v>154</v>
      </c>
      <c r="C30" s="87">
        <v>1554949.56</v>
      </c>
      <c r="D30" s="88">
        <f t="shared" si="6"/>
        <v>621979.82400000002</v>
      </c>
      <c r="E30" s="89">
        <f t="shared" si="7"/>
        <v>155494.95600000001</v>
      </c>
      <c r="F30" s="89">
        <f t="shared" si="8"/>
        <v>777474.78</v>
      </c>
      <c r="G30" s="90"/>
      <c r="H30" s="83"/>
      <c r="I30" s="98"/>
      <c r="J30" s="102"/>
      <c r="K30" s="85"/>
      <c r="L30" s="86"/>
      <c r="M30" s="99" t="s">
        <v>114</v>
      </c>
    </row>
    <row r="31" spans="1:13" ht="14" x14ac:dyDescent="0.3">
      <c r="A31" s="100">
        <v>300001200007002</v>
      </c>
      <c r="B31" s="101" t="s">
        <v>155</v>
      </c>
      <c r="C31" s="87">
        <v>1329664.5</v>
      </c>
      <c r="D31" s="88">
        <f t="shared" si="6"/>
        <v>531865.80000000005</v>
      </c>
      <c r="E31" s="89">
        <f t="shared" si="7"/>
        <v>132966.45000000001</v>
      </c>
      <c r="F31" s="89">
        <f t="shared" si="8"/>
        <v>664832.25</v>
      </c>
      <c r="G31" s="90"/>
      <c r="H31" s="83"/>
      <c r="I31" s="98"/>
      <c r="J31" s="102"/>
      <c r="K31" s="85"/>
      <c r="L31" s="86"/>
      <c r="M31" s="99" t="s">
        <v>114</v>
      </c>
    </row>
    <row r="32" spans="1:13" ht="14" x14ac:dyDescent="0.3">
      <c r="A32" s="100">
        <v>300059200007059</v>
      </c>
      <c r="B32" s="101" t="s">
        <v>156</v>
      </c>
      <c r="C32" s="87">
        <v>1273086.1399999999</v>
      </c>
      <c r="D32" s="88">
        <f t="shared" si="6"/>
        <v>509234.45600000001</v>
      </c>
      <c r="E32" s="89">
        <f t="shared" si="7"/>
        <v>127308.614</v>
      </c>
      <c r="F32" s="89">
        <f t="shared" si="8"/>
        <v>636543.06999999995</v>
      </c>
      <c r="G32" s="90"/>
      <c r="H32" s="83"/>
      <c r="I32" s="98"/>
      <c r="J32" s="102"/>
      <c r="K32" s="85"/>
      <c r="L32" s="86"/>
      <c r="M32" s="99" t="s">
        <v>114</v>
      </c>
    </row>
    <row r="33" spans="1:13" ht="14" x14ac:dyDescent="0.3">
      <c r="A33" s="100">
        <v>151602000014237</v>
      </c>
      <c r="B33" s="101" t="s">
        <v>141</v>
      </c>
      <c r="C33" s="87">
        <v>1601457.66</v>
      </c>
      <c r="D33" s="88">
        <f>C33*0.24</f>
        <v>384349.83839999995</v>
      </c>
      <c r="E33" s="89">
        <f>C33*0.06</f>
        <v>96087.459599999987</v>
      </c>
      <c r="F33" s="89">
        <f>C33*0.7</f>
        <v>1121020.362</v>
      </c>
      <c r="G33" s="90" t="s">
        <v>135</v>
      </c>
      <c r="H33" s="83"/>
      <c r="I33" s="98"/>
      <c r="J33" s="84"/>
      <c r="K33" s="85"/>
      <c r="L33" s="86"/>
      <c r="M33" s="99" t="s">
        <v>114</v>
      </c>
    </row>
    <row r="34" spans="1:13" ht="14" x14ac:dyDescent="0.3">
      <c r="A34" s="100">
        <v>152042000014097</v>
      </c>
      <c r="B34" s="101" t="s">
        <v>157</v>
      </c>
      <c r="C34" s="87">
        <v>1223327.6599999999</v>
      </c>
      <c r="D34" s="88">
        <f t="shared" ref="D34:D59" si="9">C34*0.4</f>
        <v>489331.06400000001</v>
      </c>
      <c r="E34" s="89">
        <f t="shared" ref="E34:E59" si="10">C34*0.1</f>
        <v>122332.766</v>
      </c>
      <c r="F34" s="89">
        <f t="shared" ref="F34:F59" si="11">C34*0.5</f>
        <v>611663.82999999996</v>
      </c>
      <c r="G34" s="90"/>
      <c r="H34" s="83"/>
      <c r="I34" s="98"/>
      <c r="J34" s="102"/>
      <c r="K34" s="85"/>
      <c r="L34" s="86"/>
      <c r="M34" s="99" t="s">
        <v>114</v>
      </c>
    </row>
    <row r="35" spans="1:13" ht="14" x14ac:dyDescent="0.3">
      <c r="A35" s="100">
        <v>152332000014186</v>
      </c>
      <c r="B35" s="101" t="s">
        <v>158</v>
      </c>
      <c r="C35" s="87">
        <v>1025190.34</v>
      </c>
      <c r="D35" s="88">
        <f t="shared" si="9"/>
        <v>410076.136</v>
      </c>
      <c r="E35" s="89">
        <f t="shared" si="10"/>
        <v>102519.034</v>
      </c>
      <c r="F35" s="89">
        <f t="shared" si="11"/>
        <v>512595.17</v>
      </c>
      <c r="G35" s="90"/>
      <c r="H35" s="83"/>
      <c r="I35" s="98"/>
      <c r="J35" s="102"/>
      <c r="K35" s="85"/>
      <c r="L35" s="86"/>
      <c r="M35" s="99" t="s">
        <v>114</v>
      </c>
    </row>
    <row r="36" spans="1:13" ht="14" x14ac:dyDescent="0.3">
      <c r="A36" s="100">
        <v>156562000014551</v>
      </c>
      <c r="B36" s="101" t="s">
        <v>159</v>
      </c>
      <c r="C36" s="87">
        <v>1135668.07</v>
      </c>
      <c r="D36" s="88">
        <f t="shared" si="9"/>
        <v>454267.22800000006</v>
      </c>
      <c r="E36" s="89">
        <f t="shared" si="10"/>
        <v>113566.80700000002</v>
      </c>
      <c r="F36" s="89">
        <f t="shared" si="11"/>
        <v>567834.03500000003</v>
      </c>
      <c r="G36" s="90"/>
      <c r="H36" s="83"/>
      <c r="I36" s="98"/>
      <c r="J36" s="102"/>
      <c r="K36" s="85"/>
      <c r="L36" s="86"/>
      <c r="M36" s="99" t="s">
        <v>114</v>
      </c>
    </row>
    <row r="37" spans="1:13" ht="14" x14ac:dyDescent="0.3">
      <c r="A37" s="100">
        <v>134892000011904</v>
      </c>
      <c r="B37" s="101" t="s">
        <v>160</v>
      </c>
      <c r="C37" s="87">
        <v>1108619.23</v>
      </c>
      <c r="D37" s="88">
        <f t="shared" si="9"/>
        <v>443447.69200000004</v>
      </c>
      <c r="E37" s="89">
        <f t="shared" si="10"/>
        <v>110861.92300000001</v>
      </c>
      <c r="F37" s="89">
        <f t="shared" si="11"/>
        <v>554309.61499999999</v>
      </c>
      <c r="G37" s="90"/>
      <c r="H37" s="83"/>
      <c r="I37" s="98"/>
      <c r="J37" s="102"/>
      <c r="K37" s="85"/>
      <c r="L37" s="86"/>
      <c r="M37" s="99" t="s">
        <v>114</v>
      </c>
    </row>
    <row r="38" spans="1:13" ht="14" x14ac:dyDescent="0.3">
      <c r="A38" s="100">
        <v>156682000014718</v>
      </c>
      <c r="B38" s="101" t="s">
        <v>161</v>
      </c>
      <c r="C38" s="87">
        <v>1073832.69</v>
      </c>
      <c r="D38" s="88">
        <f t="shared" si="9"/>
        <v>429533.076</v>
      </c>
      <c r="E38" s="89">
        <f t="shared" si="10"/>
        <v>107383.269</v>
      </c>
      <c r="F38" s="89">
        <f t="shared" si="11"/>
        <v>536916.34499999997</v>
      </c>
      <c r="G38" s="90"/>
      <c r="H38" s="83"/>
      <c r="I38" s="98"/>
      <c r="J38" s="102"/>
      <c r="K38" s="85"/>
      <c r="L38" s="86"/>
      <c r="M38" s="99" t="s">
        <v>114</v>
      </c>
    </row>
    <row r="39" spans="1:13" ht="14" x14ac:dyDescent="0.3">
      <c r="A39" s="100">
        <v>151112000014518</v>
      </c>
      <c r="B39" s="101" t="s">
        <v>162</v>
      </c>
      <c r="C39" s="87">
        <v>1068038.05</v>
      </c>
      <c r="D39" s="88">
        <f t="shared" si="9"/>
        <v>427215.22000000003</v>
      </c>
      <c r="E39" s="89">
        <f t="shared" si="10"/>
        <v>106803.80500000001</v>
      </c>
      <c r="F39" s="89">
        <f t="shared" si="11"/>
        <v>534019.02500000002</v>
      </c>
      <c r="G39" s="90"/>
      <c r="H39" s="83"/>
      <c r="I39" s="98"/>
      <c r="J39" s="102"/>
      <c r="K39" s="85"/>
      <c r="L39" s="86"/>
      <c r="M39" s="99" t="s">
        <v>114</v>
      </c>
    </row>
    <row r="40" spans="1:13" ht="14" x14ac:dyDescent="0.3">
      <c r="A40" s="100">
        <v>151742000014057</v>
      </c>
      <c r="B40" s="101" t="s">
        <v>144</v>
      </c>
      <c r="C40" s="87">
        <v>1183563.78</v>
      </c>
      <c r="D40" s="88">
        <f t="shared" si="9"/>
        <v>473425.51200000005</v>
      </c>
      <c r="E40" s="89">
        <f t="shared" si="10"/>
        <v>118356.37800000001</v>
      </c>
      <c r="F40" s="89">
        <f t="shared" si="11"/>
        <v>591781.89</v>
      </c>
      <c r="G40" s="90"/>
      <c r="H40" s="83"/>
      <c r="I40" s="98"/>
      <c r="J40" s="102"/>
      <c r="K40" s="85"/>
      <c r="L40" s="86"/>
      <c r="M40" s="99" t="s">
        <v>114</v>
      </c>
    </row>
    <row r="41" spans="1:13" ht="14" x14ac:dyDescent="0.3">
      <c r="A41" s="100">
        <v>156072000014504</v>
      </c>
      <c r="B41" s="101" t="s">
        <v>148</v>
      </c>
      <c r="C41" s="87">
        <v>960840.02</v>
      </c>
      <c r="D41" s="88">
        <f t="shared" si="9"/>
        <v>384336.00800000003</v>
      </c>
      <c r="E41" s="89">
        <f t="shared" si="10"/>
        <v>96084.002000000008</v>
      </c>
      <c r="F41" s="89">
        <f t="shared" si="11"/>
        <v>480420.01</v>
      </c>
      <c r="G41" s="90"/>
      <c r="H41" s="83"/>
      <c r="I41" s="98"/>
      <c r="J41" s="102"/>
      <c r="K41" s="85"/>
      <c r="L41" s="86"/>
      <c r="M41" s="99" t="s">
        <v>114</v>
      </c>
    </row>
    <row r="42" spans="1:13" ht="14" x14ac:dyDescent="0.3">
      <c r="A42" s="100">
        <v>152432000014172</v>
      </c>
      <c r="B42" s="101" t="s">
        <v>163</v>
      </c>
      <c r="C42" s="87">
        <v>1021218.36</v>
      </c>
      <c r="D42" s="88">
        <f t="shared" si="9"/>
        <v>408487.34400000004</v>
      </c>
      <c r="E42" s="89">
        <f t="shared" si="10"/>
        <v>102121.83600000001</v>
      </c>
      <c r="F42" s="89">
        <f t="shared" si="11"/>
        <v>510609.18</v>
      </c>
      <c r="G42" s="90"/>
      <c r="H42" s="83"/>
      <c r="I42" s="98"/>
      <c r="J42" s="102"/>
      <c r="K42" s="85"/>
      <c r="L42" s="86"/>
      <c r="M42" s="99" t="s">
        <v>114</v>
      </c>
    </row>
    <row r="43" spans="1:13" ht="14" x14ac:dyDescent="0.3">
      <c r="A43" s="100">
        <v>153282000014179</v>
      </c>
      <c r="B43" s="101" t="s">
        <v>164</v>
      </c>
      <c r="C43" s="87">
        <v>993306.41</v>
      </c>
      <c r="D43" s="88">
        <f t="shared" si="9"/>
        <v>397322.56400000001</v>
      </c>
      <c r="E43" s="89">
        <f t="shared" si="10"/>
        <v>99330.641000000003</v>
      </c>
      <c r="F43" s="89">
        <f t="shared" si="11"/>
        <v>496653.20500000002</v>
      </c>
      <c r="G43" s="90"/>
      <c r="H43" s="83"/>
      <c r="I43" s="98"/>
      <c r="J43" s="102"/>
      <c r="K43" s="85"/>
      <c r="L43" s="86"/>
      <c r="M43" s="99" t="s">
        <v>114</v>
      </c>
    </row>
    <row r="44" spans="1:13" ht="14" x14ac:dyDescent="0.3">
      <c r="A44" s="100">
        <v>133632000010745</v>
      </c>
      <c r="B44" s="101" t="s">
        <v>165</v>
      </c>
      <c r="C44" s="87">
        <v>972652.09</v>
      </c>
      <c r="D44" s="88">
        <f t="shared" si="9"/>
        <v>389060.83600000001</v>
      </c>
      <c r="E44" s="89">
        <f t="shared" si="10"/>
        <v>97265.209000000003</v>
      </c>
      <c r="F44" s="89">
        <f t="shared" si="11"/>
        <v>486326.04499999998</v>
      </c>
      <c r="G44" s="90"/>
      <c r="H44" s="83"/>
      <c r="I44" s="98"/>
      <c r="J44" s="102"/>
      <c r="K44" s="85"/>
      <c r="L44" s="86"/>
      <c r="M44" s="99" t="s">
        <v>114</v>
      </c>
    </row>
    <row r="45" spans="1:13" ht="14" x14ac:dyDescent="0.3">
      <c r="A45" s="100">
        <v>155452000014450</v>
      </c>
      <c r="B45" s="101" t="s">
        <v>166</v>
      </c>
      <c r="C45" s="87">
        <v>977744.8</v>
      </c>
      <c r="D45" s="88">
        <f t="shared" si="9"/>
        <v>391097.92000000004</v>
      </c>
      <c r="E45" s="89">
        <f t="shared" si="10"/>
        <v>97774.48000000001</v>
      </c>
      <c r="F45" s="89">
        <f t="shared" si="11"/>
        <v>488872.4</v>
      </c>
      <c r="G45" s="90"/>
      <c r="H45" s="83"/>
      <c r="I45" s="98"/>
      <c r="J45" s="102"/>
      <c r="K45" s="85"/>
      <c r="L45" s="86"/>
      <c r="M45" s="99" t="s">
        <v>114</v>
      </c>
    </row>
    <row r="46" spans="1:13" ht="14" x14ac:dyDescent="0.3">
      <c r="A46" s="100">
        <v>154362000014357</v>
      </c>
      <c r="B46" s="101" t="s">
        <v>167</v>
      </c>
      <c r="C46" s="87">
        <v>990785.14</v>
      </c>
      <c r="D46" s="88">
        <f t="shared" si="9"/>
        <v>396314.05600000004</v>
      </c>
      <c r="E46" s="89">
        <f t="shared" si="10"/>
        <v>99078.51400000001</v>
      </c>
      <c r="F46" s="89">
        <f t="shared" si="11"/>
        <v>495392.57</v>
      </c>
      <c r="G46" s="90"/>
      <c r="H46" s="83"/>
      <c r="I46" s="98"/>
      <c r="J46" s="102"/>
      <c r="K46" s="85"/>
      <c r="L46" s="86"/>
      <c r="M46" s="99" t="s">
        <v>114</v>
      </c>
    </row>
    <row r="47" spans="1:13" ht="14" x14ac:dyDescent="0.3">
      <c r="A47" s="100">
        <v>3000172000007010</v>
      </c>
      <c r="B47" s="101" t="s">
        <v>148</v>
      </c>
      <c r="C47" s="87">
        <v>990815.75999999989</v>
      </c>
      <c r="D47" s="88">
        <f t="shared" si="9"/>
        <v>396326.304</v>
      </c>
      <c r="E47" s="89">
        <f t="shared" si="10"/>
        <v>99081.576000000001</v>
      </c>
      <c r="F47" s="89">
        <f t="shared" si="11"/>
        <v>495407.87999999995</v>
      </c>
      <c r="G47" s="90"/>
      <c r="H47" s="83"/>
      <c r="I47" s="98"/>
      <c r="J47" s="102"/>
      <c r="K47" s="85"/>
      <c r="L47" s="86"/>
      <c r="M47" s="99" t="s">
        <v>114</v>
      </c>
    </row>
    <row r="48" spans="1:13" ht="14" x14ac:dyDescent="0.3">
      <c r="A48" s="100">
        <v>152372000014181</v>
      </c>
      <c r="B48" s="101" t="s">
        <v>168</v>
      </c>
      <c r="C48" s="87">
        <v>830483.04</v>
      </c>
      <c r="D48" s="88">
        <f t="shared" si="9"/>
        <v>332193.21600000001</v>
      </c>
      <c r="E48" s="89">
        <f t="shared" si="10"/>
        <v>83048.304000000004</v>
      </c>
      <c r="F48" s="89">
        <f t="shared" si="11"/>
        <v>415241.52</v>
      </c>
      <c r="G48" s="90"/>
      <c r="H48" s="83"/>
      <c r="I48" s="98"/>
      <c r="J48" s="102"/>
      <c r="K48" s="85"/>
      <c r="L48" s="86"/>
      <c r="M48" s="99" t="s">
        <v>114</v>
      </c>
    </row>
    <row r="49" spans="1:13" ht="14" x14ac:dyDescent="0.3">
      <c r="A49" s="100">
        <v>300021200007021</v>
      </c>
      <c r="B49" s="101" t="s">
        <v>169</v>
      </c>
      <c r="C49" s="87">
        <v>805400.15</v>
      </c>
      <c r="D49" s="88">
        <f t="shared" si="9"/>
        <v>322160.06000000006</v>
      </c>
      <c r="E49" s="89">
        <f t="shared" si="10"/>
        <v>80540.015000000014</v>
      </c>
      <c r="F49" s="89">
        <f t="shared" si="11"/>
        <v>402700.07500000001</v>
      </c>
      <c r="G49" s="90"/>
      <c r="H49" s="83"/>
      <c r="I49" s="98"/>
      <c r="J49" s="102"/>
      <c r="K49" s="85"/>
      <c r="L49" s="86"/>
      <c r="M49" s="99" t="s">
        <v>114</v>
      </c>
    </row>
    <row r="50" spans="1:13" ht="14" x14ac:dyDescent="0.3">
      <c r="A50" s="100">
        <v>155462000014438</v>
      </c>
      <c r="B50" s="101" t="s">
        <v>170</v>
      </c>
      <c r="C50" s="87">
        <v>938711.42</v>
      </c>
      <c r="D50" s="88">
        <f t="shared" si="9"/>
        <v>375484.56800000003</v>
      </c>
      <c r="E50" s="89">
        <f t="shared" si="10"/>
        <v>93871.142000000007</v>
      </c>
      <c r="F50" s="89">
        <f t="shared" si="11"/>
        <v>469355.71</v>
      </c>
      <c r="G50" s="90"/>
      <c r="H50" s="83"/>
      <c r="I50" s="98"/>
      <c r="J50" s="102"/>
      <c r="K50" s="85"/>
      <c r="L50" s="86"/>
      <c r="M50" s="99" t="s">
        <v>114</v>
      </c>
    </row>
    <row r="51" spans="1:13" ht="14" x14ac:dyDescent="0.3">
      <c r="A51" s="100">
        <v>151512000014110</v>
      </c>
      <c r="B51" s="101" t="s">
        <v>171</v>
      </c>
      <c r="C51" s="87">
        <v>794318.1</v>
      </c>
      <c r="D51" s="88">
        <f t="shared" si="9"/>
        <v>317727.24</v>
      </c>
      <c r="E51" s="89">
        <f t="shared" si="10"/>
        <v>79431.81</v>
      </c>
      <c r="F51" s="89">
        <f t="shared" si="11"/>
        <v>397159.05</v>
      </c>
      <c r="G51" s="90"/>
      <c r="H51" s="83"/>
      <c r="I51" s="98"/>
      <c r="J51" s="102"/>
      <c r="K51" s="85"/>
      <c r="L51" s="86"/>
      <c r="M51" s="99" t="s">
        <v>114</v>
      </c>
    </row>
    <row r="52" spans="1:13" ht="14" x14ac:dyDescent="0.3">
      <c r="A52" s="100">
        <v>156692000014719</v>
      </c>
      <c r="B52" s="101" t="s">
        <v>172</v>
      </c>
      <c r="C52" s="87">
        <v>773640.53999999992</v>
      </c>
      <c r="D52" s="88">
        <f t="shared" si="9"/>
        <v>309456.21599999996</v>
      </c>
      <c r="E52" s="89">
        <f t="shared" si="10"/>
        <v>77364.053999999989</v>
      </c>
      <c r="F52" s="89">
        <f t="shared" si="11"/>
        <v>386820.26999999996</v>
      </c>
      <c r="G52" s="90"/>
      <c r="H52" s="83"/>
      <c r="I52" s="98"/>
      <c r="J52" s="102"/>
      <c r="K52" s="85"/>
      <c r="L52" s="86"/>
      <c r="M52" s="99" t="s">
        <v>114</v>
      </c>
    </row>
    <row r="53" spans="1:13" ht="14" x14ac:dyDescent="0.3">
      <c r="A53" s="100">
        <v>154382000014351</v>
      </c>
      <c r="B53" s="101" t="s">
        <v>173</v>
      </c>
      <c r="C53" s="87">
        <v>893494.52999999991</v>
      </c>
      <c r="D53" s="88">
        <f t="shared" si="9"/>
        <v>357397.81199999998</v>
      </c>
      <c r="E53" s="89">
        <f t="shared" si="10"/>
        <v>89349.452999999994</v>
      </c>
      <c r="F53" s="89">
        <f t="shared" si="11"/>
        <v>446747.26499999996</v>
      </c>
      <c r="G53" s="90"/>
      <c r="H53" s="83"/>
      <c r="I53" s="98"/>
      <c r="J53" s="102"/>
      <c r="K53" s="85"/>
      <c r="L53" s="86"/>
      <c r="M53" s="99" t="s">
        <v>114</v>
      </c>
    </row>
    <row r="54" spans="1:13" ht="14" x14ac:dyDescent="0.3">
      <c r="A54" s="100">
        <v>106762000005276</v>
      </c>
      <c r="B54" s="101" t="s">
        <v>174</v>
      </c>
      <c r="C54" s="87">
        <v>1010138.8200000001</v>
      </c>
      <c r="D54" s="88">
        <f t="shared" si="9"/>
        <v>404055.52800000005</v>
      </c>
      <c r="E54" s="89">
        <f t="shared" si="10"/>
        <v>101013.88200000001</v>
      </c>
      <c r="F54" s="89">
        <f t="shared" si="11"/>
        <v>505069.41000000003</v>
      </c>
      <c r="G54" s="90"/>
      <c r="H54" s="83"/>
      <c r="I54" s="98"/>
      <c r="J54" s="102"/>
      <c r="K54" s="85"/>
      <c r="L54" s="86"/>
      <c r="M54" s="99" t="s">
        <v>114</v>
      </c>
    </row>
    <row r="55" spans="1:13" ht="14" x14ac:dyDescent="0.3">
      <c r="A55" s="100">
        <v>122072000006508</v>
      </c>
      <c r="B55" s="101" t="s">
        <v>175</v>
      </c>
      <c r="C55" s="87">
        <v>824700.14</v>
      </c>
      <c r="D55" s="88">
        <f t="shared" si="9"/>
        <v>329880.05600000004</v>
      </c>
      <c r="E55" s="89">
        <f t="shared" si="10"/>
        <v>82470.01400000001</v>
      </c>
      <c r="F55" s="89">
        <f t="shared" si="11"/>
        <v>412350.07</v>
      </c>
      <c r="G55" s="90"/>
      <c r="H55" s="83"/>
      <c r="I55" s="98"/>
      <c r="J55" s="102"/>
      <c r="K55" s="85"/>
      <c r="L55" s="86"/>
      <c r="M55" s="99" t="s">
        <v>114</v>
      </c>
    </row>
    <row r="56" spans="1:13" ht="14" x14ac:dyDescent="0.3">
      <c r="A56" s="100">
        <v>151972000014087</v>
      </c>
      <c r="B56" s="101" t="s">
        <v>176</v>
      </c>
      <c r="C56" s="87">
        <v>754679.15</v>
      </c>
      <c r="D56" s="88">
        <f t="shared" si="9"/>
        <v>301871.66000000003</v>
      </c>
      <c r="E56" s="89">
        <f t="shared" si="10"/>
        <v>75467.915000000008</v>
      </c>
      <c r="F56" s="89">
        <f t="shared" si="11"/>
        <v>377339.57500000001</v>
      </c>
      <c r="G56" s="90"/>
      <c r="H56" s="83"/>
      <c r="I56" s="98"/>
      <c r="J56" s="102"/>
      <c r="K56" s="85"/>
      <c r="L56" s="86"/>
      <c r="M56" s="99" t="s">
        <v>114</v>
      </c>
    </row>
    <row r="57" spans="1:13" ht="14" x14ac:dyDescent="0.3">
      <c r="A57" s="100">
        <v>134782000011607</v>
      </c>
      <c r="B57" s="101" t="s">
        <v>177</v>
      </c>
      <c r="C57" s="87">
        <v>976039.78</v>
      </c>
      <c r="D57" s="88">
        <f t="shared" si="9"/>
        <v>390415.91200000001</v>
      </c>
      <c r="E57" s="89">
        <f t="shared" si="10"/>
        <v>97603.978000000003</v>
      </c>
      <c r="F57" s="89">
        <f t="shared" si="11"/>
        <v>488019.89</v>
      </c>
      <c r="G57" s="90"/>
      <c r="H57" s="83"/>
      <c r="I57" s="98"/>
      <c r="J57" s="102"/>
      <c r="K57" s="85"/>
      <c r="L57" s="86"/>
      <c r="M57" s="99" t="s">
        <v>114</v>
      </c>
    </row>
    <row r="58" spans="1:13" ht="14" x14ac:dyDescent="0.3">
      <c r="A58" s="100">
        <v>153042000014177</v>
      </c>
      <c r="B58" s="101" t="s">
        <v>178</v>
      </c>
      <c r="C58" s="87">
        <v>839483.45</v>
      </c>
      <c r="D58" s="88">
        <f t="shared" si="9"/>
        <v>335793.38</v>
      </c>
      <c r="E58" s="89">
        <f t="shared" si="10"/>
        <v>83948.345000000001</v>
      </c>
      <c r="F58" s="89">
        <f t="shared" si="11"/>
        <v>419741.72499999998</v>
      </c>
      <c r="G58" s="90"/>
      <c r="H58" s="83"/>
      <c r="I58" s="98"/>
      <c r="J58" s="102"/>
      <c r="K58" s="85"/>
      <c r="L58" s="86"/>
      <c r="M58" s="99" t="s">
        <v>114</v>
      </c>
    </row>
    <row r="59" spans="1:13" ht="14" x14ac:dyDescent="0.3">
      <c r="A59" s="100">
        <v>150732000013987</v>
      </c>
      <c r="B59" s="101" t="s">
        <v>179</v>
      </c>
      <c r="C59" s="87">
        <v>858266.92</v>
      </c>
      <c r="D59" s="88">
        <f t="shared" si="9"/>
        <v>343306.76800000004</v>
      </c>
      <c r="E59" s="89">
        <f t="shared" si="10"/>
        <v>85826.69200000001</v>
      </c>
      <c r="F59" s="89">
        <f t="shared" si="11"/>
        <v>429133.46</v>
      </c>
      <c r="G59" s="90"/>
      <c r="H59" s="83"/>
      <c r="I59" s="98"/>
      <c r="J59" s="102"/>
      <c r="K59" s="85"/>
      <c r="L59" s="86"/>
      <c r="M59" s="99" t="s">
        <v>114</v>
      </c>
    </row>
    <row r="60" spans="1:13" ht="14" x14ac:dyDescent="0.3">
      <c r="A60" s="100">
        <v>151182000014011</v>
      </c>
      <c r="B60" s="101" t="s">
        <v>180</v>
      </c>
      <c r="C60" s="87">
        <v>846174.87</v>
      </c>
      <c r="D60" s="88">
        <f>C60*0.34</f>
        <v>287699.4558</v>
      </c>
      <c r="E60" s="89">
        <f>C60*0.06</f>
        <v>50770.492200000001</v>
      </c>
      <c r="F60" s="89">
        <f>C60*0.6</f>
        <v>507704.92199999996</v>
      </c>
      <c r="G60" s="90" t="s">
        <v>138</v>
      </c>
      <c r="H60" s="83"/>
      <c r="I60" s="98"/>
      <c r="J60" s="102"/>
      <c r="K60" s="85"/>
      <c r="L60" s="86"/>
      <c r="M60" s="99" t="s">
        <v>114</v>
      </c>
    </row>
    <row r="61" spans="1:13" ht="14" x14ac:dyDescent="0.3">
      <c r="A61" s="100">
        <v>150932000014039</v>
      </c>
      <c r="B61" s="101" t="s">
        <v>181</v>
      </c>
      <c r="C61" s="87">
        <v>800297.95000000007</v>
      </c>
      <c r="D61" s="88">
        <f t="shared" ref="D61:D82" si="12">C61*0.4</f>
        <v>320119.18000000005</v>
      </c>
      <c r="E61" s="89">
        <f t="shared" ref="E61:E82" si="13">C61*0.1</f>
        <v>80029.795000000013</v>
      </c>
      <c r="F61" s="89">
        <f t="shared" ref="F61:F82" si="14">C61*0.5</f>
        <v>400148.97500000003</v>
      </c>
      <c r="G61" s="90"/>
      <c r="H61" s="83"/>
      <c r="I61" s="98"/>
      <c r="J61" s="102"/>
      <c r="K61" s="85"/>
      <c r="L61" s="86"/>
      <c r="M61" s="99" t="s">
        <v>114</v>
      </c>
    </row>
    <row r="62" spans="1:13" ht="14" x14ac:dyDescent="0.3">
      <c r="A62" s="100">
        <v>150632000013978</v>
      </c>
      <c r="B62" s="101" t="s">
        <v>182</v>
      </c>
      <c r="C62" s="87">
        <v>854324.95</v>
      </c>
      <c r="D62" s="88">
        <f t="shared" si="12"/>
        <v>341729.98</v>
      </c>
      <c r="E62" s="89">
        <f t="shared" si="13"/>
        <v>85432.494999999995</v>
      </c>
      <c r="F62" s="89">
        <f t="shared" si="14"/>
        <v>427162.47499999998</v>
      </c>
      <c r="G62" s="90"/>
      <c r="H62" s="83"/>
      <c r="I62" s="98"/>
      <c r="J62" s="102"/>
      <c r="K62" s="85"/>
      <c r="L62" s="86"/>
      <c r="M62" s="99" t="s">
        <v>114</v>
      </c>
    </row>
    <row r="63" spans="1:13" ht="14" x14ac:dyDescent="0.3">
      <c r="A63" s="100">
        <v>151552000014125</v>
      </c>
      <c r="B63" s="101" t="s">
        <v>183</v>
      </c>
      <c r="C63" s="87">
        <v>664706.17999999993</v>
      </c>
      <c r="D63" s="88">
        <f t="shared" si="12"/>
        <v>265882.47200000001</v>
      </c>
      <c r="E63" s="89">
        <f t="shared" si="13"/>
        <v>66470.618000000002</v>
      </c>
      <c r="F63" s="89">
        <f t="shared" si="14"/>
        <v>332353.08999999997</v>
      </c>
      <c r="G63" s="90"/>
      <c r="H63" s="83"/>
      <c r="I63" s="98"/>
      <c r="J63" s="102"/>
      <c r="K63" s="85"/>
      <c r="L63" s="86"/>
      <c r="M63" s="99" t="s">
        <v>114</v>
      </c>
    </row>
    <row r="64" spans="1:13" ht="14" x14ac:dyDescent="0.3">
      <c r="A64" s="100">
        <v>154192000014304</v>
      </c>
      <c r="B64" s="101" t="s">
        <v>184</v>
      </c>
      <c r="C64" s="87">
        <v>794074.91999999993</v>
      </c>
      <c r="D64" s="88">
        <f t="shared" si="12"/>
        <v>317629.96799999999</v>
      </c>
      <c r="E64" s="89">
        <f t="shared" si="13"/>
        <v>79407.491999999998</v>
      </c>
      <c r="F64" s="89">
        <f t="shared" si="14"/>
        <v>397037.45999999996</v>
      </c>
      <c r="G64" s="90"/>
      <c r="H64" s="83"/>
      <c r="I64" s="98"/>
      <c r="J64" s="102"/>
      <c r="K64" s="85"/>
      <c r="L64" s="86"/>
      <c r="M64" s="99" t="s">
        <v>114</v>
      </c>
    </row>
    <row r="65" spans="1:13" ht="14" x14ac:dyDescent="0.3">
      <c r="A65" s="100">
        <v>155552000014454</v>
      </c>
      <c r="B65" s="101" t="s">
        <v>185</v>
      </c>
      <c r="C65" s="87">
        <v>855589.58000000007</v>
      </c>
      <c r="D65" s="88">
        <f t="shared" si="12"/>
        <v>342235.83200000005</v>
      </c>
      <c r="E65" s="89">
        <f t="shared" si="13"/>
        <v>85558.958000000013</v>
      </c>
      <c r="F65" s="89">
        <f t="shared" si="14"/>
        <v>427794.79000000004</v>
      </c>
      <c r="G65" s="90"/>
      <c r="H65" s="83"/>
      <c r="I65" s="98"/>
      <c r="J65" s="102"/>
      <c r="K65" s="85"/>
      <c r="L65" s="86"/>
      <c r="M65" s="99" t="s">
        <v>114</v>
      </c>
    </row>
    <row r="66" spans="1:13" ht="14" x14ac:dyDescent="0.3">
      <c r="A66" s="100">
        <v>3000222000007020</v>
      </c>
      <c r="B66" s="101" t="s">
        <v>186</v>
      </c>
      <c r="C66" s="87">
        <v>699271.37</v>
      </c>
      <c r="D66" s="88">
        <f t="shared" si="12"/>
        <v>279708.54800000001</v>
      </c>
      <c r="E66" s="89">
        <f t="shared" si="13"/>
        <v>69927.137000000002</v>
      </c>
      <c r="F66" s="89">
        <f t="shared" si="14"/>
        <v>349635.685</v>
      </c>
      <c r="G66" s="90"/>
      <c r="H66" s="83"/>
      <c r="I66" s="98"/>
      <c r="J66" s="102"/>
      <c r="K66" s="85"/>
      <c r="L66" s="86"/>
      <c r="M66" s="99" t="s">
        <v>114</v>
      </c>
    </row>
    <row r="67" spans="1:13" ht="14" x14ac:dyDescent="0.3">
      <c r="A67" s="100">
        <v>156992000014665</v>
      </c>
      <c r="B67" s="101" t="s">
        <v>187</v>
      </c>
      <c r="C67" s="87">
        <v>715600.22</v>
      </c>
      <c r="D67" s="88">
        <f t="shared" si="12"/>
        <v>286240.08799999999</v>
      </c>
      <c r="E67" s="89">
        <f t="shared" si="13"/>
        <v>71560.021999999997</v>
      </c>
      <c r="F67" s="89">
        <f t="shared" si="14"/>
        <v>357800.11</v>
      </c>
      <c r="G67" s="90"/>
      <c r="H67" s="83"/>
      <c r="I67" s="98"/>
      <c r="J67" s="102"/>
      <c r="K67" s="85"/>
      <c r="L67" s="86"/>
      <c r="M67" s="99" t="s">
        <v>114</v>
      </c>
    </row>
    <row r="68" spans="1:13" ht="14" x14ac:dyDescent="0.3">
      <c r="A68" s="100">
        <v>133312000012908</v>
      </c>
      <c r="B68" s="101" t="s">
        <v>188</v>
      </c>
      <c r="C68" s="87">
        <v>591895.79999999993</v>
      </c>
      <c r="D68" s="88">
        <f t="shared" si="12"/>
        <v>236758.31999999998</v>
      </c>
      <c r="E68" s="89">
        <f t="shared" si="13"/>
        <v>59189.579999999994</v>
      </c>
      <c r="F68" s="89">
        <f t="shared" si="14"/>
        <v>295947.89999999997</v>
      </c>
      <c r="G68" s="90"/>
      <c r="H68" s="83"/>
      <c r="I68" s="98"/>
      <c r="J68" s="102"/>
      <c r="K68" s="85"/>
      <c r="L68" s="86"/>
      <c r="M68" s="99" t="s">
        <v>114</v>
      </c>
    </row>
    <row r="69" spans="1:13" ht="14" x14ac:dyDescent="0.3">
      <c r="A69" s="100">
        <v>155132000014399</v>
      </c>
      <c r="B69" s="101" t="s">
        <v>189</v>
      </c>
      <c r="C69" s="87">
        <v>598819.17999999993</v>
      </c>
      <c r="D69" s="88">
        <f t="shared" si="12"/>
        <v>239527.67199999999</v>
      </c>
      <c r="E69" s="89">
        <f t="shared" si="13"/>
        <v>59881.917999999998</v>
      </c>
      <c r="F69" s="89">
        <f t="shared" si="14"/>
        <v>299409.58999999997</v>
      </c>
      <c r="G69" s="90"/>
      <c r="H69" s="83"/>
      <c r="I69" s="98"/>
      <c r="J69" s="102"/>
      <c r="K69" s="85"/>
      <c r="L69" s="86"/>
      <c r="M69" s="99" t="s">
        <v>114</v>
      </c>
    </row>
    <row r="70" spans="1:13" ht="14" x14ac:dyDescent="0.3">
      <c r="A70" s="100">
        <v>154622000014365</v>
      </c>
      <c r="B70" s="101" t="s">
        <v>190</v>
      </c>
      <c r="C70" s="87">
        <v>636854.87</v>
      </c>
      <c r="D70" s="88">
        <f t="shared" si="12"/>
        <v>254741.948</v>
      </c>
      <c r="E70" s="89">
        <f t="shared" si="13"/>
        <v>63685.487000000001</v>
      </c>
      <c r="F70" s="89">
        <f t="shared" si="14"/>
        <v>318427.435</v>
      </c>
      <c r="G70" s="90"/>
      <c r="H70" s="83"/>
      <c r="I70" s="98"/>
      <c r="J70" s="102"/>
      <c r="K70" s="85"/>
      <c r="L70" s="86"/>
      <c r="M70" s="99" t="s">
        <v>114</v>
      </c>
    </row>
    <row r="71" spans="1:13" ht="14" x14ac:dyDescent="0.3">
      <c r="A71" s="100">
        <v>3000122000007010</v>
      </c>
      <c r="B71" s="101" t="s">
        <v>191</v>
      </c>
      <c r="C71" s="87">
        <v>635501.59</v>
      </c>
      <c r="D71" s="88">
        <f t="shared" si="12"/>
        <v>254200.636</v>
      </c>
      <c r="E71" s="89">
        <f t="shared" si="13"/>
        <v>63550.159</v>
      </c>
      <c r="F71" s="89">
        <f t="shared" si="14"/>
        <v>317750.79499999998</v>
      </c>
      <c r="G71" s="90"/>
      <c r="H71" s="83"/>
      <c r="I71" s="98"/>
      <c r="J71" s="102"/>
      <c r="K71" s="85"/>
      <c r="L71" s="86"/>
      <c r="M71" s="99" t="s">
        <v>114</v>
      </c>
    </row>
    <row r="72" spans="1:13" ht="14" x14ac:dyDescent="0.3">
      <c r="A72" s="100">
        <v>151522000014052</v>
      </c>
      <c r="B72" s="101" t="s">
        <v>192</v>
      </c>
      <c r="C72" s="87">
        <v>522365.05</v>
      </c>
      <c r="D72" s="88">
        <f t="shared" si="12"/>
        <v>208946.02000000002</v>
      </c>
      <c r="E72" s="89">
        <f t="shared" si="13"/>
        <v>52236.505000000005</v>
      </c>
      <c r="F72" s="89">
        <f t="shared" si="14"/>
        <v>261182.52499999999</v>
      </c>
      <c r="G72" s="90"/>
      <c r="H72" s="83"/>
      <c r="I72" s="98"/>
      <c r="J72" s="102"/>
      <c r="K72" s="85"/>
      <c r="L72" s="86"/>
      <c r="M72" s="99" t="s">
        <v>114</v>
      </c>
    </row>
    <row r="73" spans="1:13" ht="14" x14ac:dyDescent="0.3">
      <c r="A73" s="100">
        <v>136142000012292</v>
      </c>
      <c r="B73" s="101" t="s">
        <v>193</v>
      </c>
      <c r="C73" s="87">
        <v>674903.28</v>
      </c>
      <c r="D73" s="88">
        <f t="shared" si="12"/>
        <v>269961.31200000003</v>
      </c>
      <c r="E73" s="89">
        <f t="shared" si="13"/>
        <v>67490.328000000009</v>
      </c>
      <c r="F73" s="89">
        <f t="shared" si="14"/>
        <v>337451.64</v>
      </c>
      <c r="G73" s="90"/>
      <c r="H73" s="83"/>
      <c r="I73" s="98"/>
      <c r="J73" s="102"/>
      <c r="K73" s="85"/>
      <c r="L73" s="86"/>
      <c r="M73" s="99" t="s">
        <v>114</v>
      </c>
    </row>
    <row r="74" spans="1:13" ht="14" x14ac:dyDescent="0.3">
      <c r="A74" s="100">
        <v>150772000013989</v>
      </c>
      <c r="B74" s="101" t="s">
        <v>194</v>
      </c>
      <c r="C74" s="87">
        <v>649700.99</v>
      </c>
      <c r="D74" s="88">
        <f t="shared" si="12"/>
        <v>259880.39600000001</v>
      </c>
      <c r="E74" s="89">
        <f t="shared" si="13"/>
        <v>64970.099000000002</v>
      </c>
      <c r="F74" s="89">
        <f t="shared" si="14"/>
        <v>324850.495</v>
      </c>
      <c r="G74" s="90"/>
      <c r="H74" s="83"/>
      <c r="I74" s="98"/>
      <c r="J74" s="102"/>
      <c r="K74" s="85"/>
      <c r="L74" s="86"/>
      <c r="M74" s="99" t="s">
        <v>114</v>
      </c>
    </row>
    <row r="75" spans="1:13" ht="14" x14ac:dyDescent="0.3">
      <c r="A75" s="100">
        <v>151702000014077</v>
      </c>
      <c r="B75" s="101" t="s">
        <v>195</v>
      </c>
      <c r="C75" s="87">
        <v>593786.66</v>
      </c>
      <c r="D75" s="88">
        <f t="shared" si="12"/>
        <v>237514.66400000002</v>
      </c>
      <c r="E75" s="89">
        <f t="shared" si="13"/>
        <v>59378.666000000005</v>
      </c>
      <c r="F75" s="89">
        <f t="shared" si="14"/>
        <v>296893.33</v>
      </c>
      <c r="G75" s="90"/>
      <c r="H75" s="83"/>
      <c r="I75" s="98"/>
      <c r="J75" s="102"/>
      <c r="K75" s="85"/>
      <c r="L75" s="86"/>
      <c r="M75" s="99" t="s">
        <v>114</v>
      </c>
    </row>
    <row r="76" spans="1:13" ht="14" x14ac:dyDescent="0.3">
      <c r="A76" s="100">
        <v>156652000014602</v>
      </c>
      <c r="B76" s="101" t="s">
        <v>196</v>
      </c>
      <c r="C76" s="87">
        <v>607123.62</v>
      </c>
      <c r="D76" s="88">
        <f t="shared" si="12"/>
        <v>242849.448</v>
      </c>
      <c r="E76" s="89">
        <f t="shared" si="13"/>
        <v>60712.362000000001</v>
      </c>
      <c r="F76" s="89">
        <f t="shared" si="14"/>
        <v>303561.81</v>
      </c>
      <c r="G76" s="90"/>
      <c r="H76" s="83"/>
      <c r="I76" s="98"/>
      <c r="J76" s="102"/>
      <c r="K76" s="85"/>
      <c r="L76" s="86"/>
      <c r="M76" s="99" t="s">
        <v>114</v>
      </c>
    </row>
    <row r="77" spans="1:13" ht="14" x14ac:dyDescent="0.3">
      <c r="A77" s="100">
        <v>155422000014433</v>
      </c>
      <c r="B77" s="101" t="s">
        <v>192</v>
      </c>
      <c r="C77" s="87">
        <v>823913.96</v>
      </c>
      <c r="D77" s="88">
        <f t="shared" si="12"/>
        <v>329565.58400000003</v>
      </c>
      <c r="E77" s="89">
        <f t="shared" si="13"/>
        <v>82391.396000000008</v>
      </c>
      <c r="F77" s="89">
        <f t="shared" si="14"/>
        <v>411956.98</v>
      </c>
      <c r="G77" s="90"/>
      <c r="H77" s="83"/>
      <c r="I77" s="98"/>
      <c r="J77" s="102"/>
      <c r="K77" s="85"/>
      <c r="L77" s="86"/>
      <c r="M77" s="99" t="s">
        <v>114</v>
      </c>
    </row>
    <row r="78" spans="1:13" ht="14" x14ac:dyDescent="0.3">
      <c r="A78" s="100">
        <v>106232000005240</v>
      </c>
      <c r="B78" s="101" t="s">
        <v>197</v>
      </c>
      <c r="C78" s="87">
        <v>597961.43000000005</v>
      </c>
      <c r="D78" s="88">
        <f t="shared" si="12"/>
        <v>239184.57200000004</v>
      </c>
      <c r="E78" s="89">
        <f t="shared" si="13"/>
        <v>59796.143000000011</v>
      </c>
      <c r="F78" s="89">
        <f t="shared" si="14"/>
        <v>298980.71500000003</v>
      </c>
      <c r="G78" s="90"/>
      <c r="H78" s="83"/>
      <c r="I78" s="98"/>
      <c r="J78" s="102"/>
      <c r="K78" s="85"/>
      <c r="L78" s="86"/>
      <c r="M78" s="99" t="s">
        <v>114</v>
      </c>
    </row>
    <row r="79" spans="1:13" ht="14" x14ac:dyDescent="0.3">
      <c r="A79" s="100">
        <v>136242000012237</v>
      </c>
      <c r="B79" s="101" t="s">
        <v>198</v>
      </c>
      <c r="C79" s="87">
        <v>776588.1</v>
      </c>
      <c r="D79" s="88">
        <f t="shared" si="12"/>
        <v>310635.24</v>
      </c>
      <c r="E79" s="89">
        <f t="shared" si="13"/>
        <v>77658.81</v>
      </c>
      <c r="F79" s="89">
        <f t="shared" si="14"/>
        <v>388294.05</v>
      </c>
      <c r="G79" s="90"/>
      <c r="H79" s="83"/>
      <c r="I79" s="98"/>
      <c r="J79" s="102"/>
      <c r="K79" s="85"/>
      <c r="L79" s="86"/>
      <c r="M79" s="99" t="s">
        <v>114</v>
      </c>
    </row>
    <row r="80" spans="1:13" ht="14" x14ac:dyDescent="0.3">
      <c r="A80" s="100">
        <v>156122000014514</v>
      </c>
      <c r="B80" s="101" t="s">
        <v>199</v>
      </c>
      <c r="C80" s="87">
        <v>441526.66</v>
      </c>
      <c r="D80" s="88">
        <f t="shared" si="12"/>
        <v>176610.66399999999</v>
      </c>
      <c r="E80" s="89">
        <f t="shared" si="13"/>
        <v>44152.665999999997</v>
      </c>
      <c r="F80" s="89">
        <f t="shared" si="14"/>
        <v>220763.33</v>
      </c>
      <c r="G80" s="90"/>
      <c r="H80" s="83"/>
      <c r="I80" s="98"/>
      <c r="J80" s="102"/>
      <c r="K80" s="85"/>
      <c r="L80" s="86"/>
      <c r="M80" s="99" t="s">
        <v>114</v>
      </c>
    </row>
    <row r="81" spans="1:13" ht="14" x14ac:dyDescent="0.3">
      <c r="A81" s="100">
        <v>155572000014482</v>
      </c>
      <c r="B81" s="101" t="s">
        <v>200</v>
      </c>
      <c r="C81" s="87">
        <v>557336.52999999991</v>
      </c>
      <c r="D81" s="88">
        <f t="shared" si="12"/>
        <v>222934.61199999996</v>
      </c>
      <c r="E81" s="89">
        <f t="shared" si="13"/>
        <v>55733.652999999991</v>
      </c>
      <c r="F81" s="89">
        <f t="shared" si="14"/>
        <v>278668.26499999996</v>
      </c>
      <c r="G81" s="90"/>
      <c r="H81" s="83"/>
      <c r="I81" s="98"/>
      <c r="J81" s="102"/>
      <c r="K81" s="85"/>
      <c r="L81" s="86"/>
      <c r="M81" s="99" t="s">
        <v>114</v>
      </c>
    </row>
    <row r="82" spans="1:13" ht="14" x14ac:dyDescent="0.3">
      <c r="A82" s="100">
        <v>153382000014188</v>
      </c>
      <c r="B82" s="101" t="s">
        <v>201</v>
      </c>
      <c r="C82" s="87">
        <v>527045.39</v>
      </c>
      <c r="D82" s="88">
        <f t="shared" si="12"/>
        <v>210818.15600000002</v>
      </c>
      <c r="E82" s="89">
        <f t="shared" si="13"/>
        <v>52704.539000000004</v>
      </c>
      <c r="F82" s="89">
        <f t="shared" si="14"/>
        <v>263522.69500000001</v>
      </c>
      <c r="G82" s="90"/>
      <c r="H82" s="83"/>
      <c r="I82" s="98"/>
      <c r="J82" s="102"/>
      <c r="K82" s="85"/>
      <c r="L82" s="86"/>
      <c r="M82" s="99" t="s">
        <v>114</v>
      </c>
    </row>
    <row r="83" spans="1:13" ht="14" x14ac:dyDescent="0.3">
      <c r="A83" s="100">
        <v>154312000014336</v>
      </c>
      <c r="B83" s="101" t="s">
        <v>137</v>
      </c>
      <c r="C83" s="87">
        <v>514887.66</v>
      </c>
      <c r="D83" s="88">
        <f>C83*0.34</f>
        <v>175061.80439999999</v>
      </c>
      <c r="E83" s="89">
        <f>C83*0.06</f>
        <v>30893.259599999998</v>
      </c>
      <c r="F83" s="89">
        <f>C83*0.6</f>
        <v>308932.59599999996</v>
      </c>
      <c r="G83" s="90" t="s">
        <v>138</v>
      </c>
      <c r="H83" s="83"/>
      <c r="I83" s="98"/>
      <c r="J83" s="102"/>
      <c r="K83" s="85"/>
      <c r="L83" s="86"/>
      <c r="M83" s="99" t="s">
        <v>114</v>
      </c>
    </row>
    <row r="84" spans="1:13" ht="14" x14ac:dyDescent="0.3">
      <c r="A84" s="100">
        <v>151142000014048</v>
      </c>
      <c r="B84" s="101" t="s">
        <v>202</v>
      </c>
      <c r="C84" s="87">
        <v>689522.5</v>
      </c>
      <c r="D84" s="88">
        <f t="shared" ref="D84:D92" si="15">C84*0.4</f>
        <v>275809</v>
      </c>
      <c r="E84" s="89">
        <f t="shared" ref="E84:E92" si="16">C84*0.1</f>
        <v>68952.25</v>
      </c>
      <c r="F84" s="89">
        <f t="shared" ref="F84:F92" si="17">C84*0.5</f>
        <v>344761.25</v>
      </c>
      <c r="G84" s="90"/>
      <c r="H84" s="83"/>
      <c r="I84" s="98"/>
      <c r="J84" s="102"/>
      <c r="K84" s="85"/>
      <c r="L84" s="86"/>
      <c r="M84" s="99" t="s">
        <v>114</v>
      </c>
    </row>
    <row r="85" spans="1:13" ht="14" x14ac:dyDescent="0.3">
      <c r="A85" s="100">
        <v>151022000014527</v>
      </c>
      <c r="B85" s="101" t="s">
        <v>203</v>
      </c>
      <c r="C85" s="87">
        <v>525308.82000000007</v>
      </c>
      <c r="D85" s="88">
        <f t="shared" si="15"/>
        <v>210123.52800000005</v>
      </c>
      <c r="E85" s="89">
        <f t="shared" si="16"/>
        <v>52530.882000000012</v>
      </c>
      <c r="F85" s="89">
        <f t="shared" si="17"/>
        <v>262654.41000000003</v>
      </c>
      <c r="G85" s="90"/>
      <c r="H85" s="83"/>
      <c r="I85" s="98"/>
      <c r="J85" s="102"/>
      <c r="K85" s="85"/>
      <c r="L85" s="86"/>
      <c r="M85" s="99" t="s">
        <v>114</v>
      </c>
    </row>
    <row r="86" spans="1:13" ht="14" x14ac:dyDescent="0.3">
      <c r="A86" s="100">
        <v>150182000013984</v>
      </c>
      <c r="B86" s="101" t="s">
        <v>204</v>
      </c>
      <c r="C86" s="87">
        <v>535237.48</v>
      </c>
      <c r="D86" s="88">
        <f t="shared" si="15"/>
        <v>214094.992</v>
      </c>
      <c r="E86" s="89">
        <f t="shared" si="16"/>
        <v>53523.748</v>
      </c>
      <c r="F86" s="89">
        <f t="shared" si="17"/>
        <v>267618.74</v>
      </c>
      <c r="G86" s="90"/>
      <c r="H86" s="83"/>
      <c r="I86" s="98"/>
      <c r="J86" s="102"/>
      <c r="K86" s="85"/>
      <c r="L86" s="86"/>
      <c r="M86" s="99" t="s">
        <v>114</v>
      </c>
    </row>
    <row r="87" spans="1:13" ht="14" x14ac:dyDescent="0.3">
      <c r="A87" s="100">
        <v>152402000014137</v>
      </c>
      <c r="B87" s="101" t="s">
        <v>205</v>
      </c>
      <c r="C87" s="87">
        <v>474501.13</v>
      </c>
      <c r="D87" s="88">
        <f t="shared" si="15"/>
        <v>189800.45200000002</v>
      </c>
      <c r="E87" s="89">
        <f t="shared" si="16"/>
        <v>47450.113000000005</v>
      </c>
      <c r="F87" s="89">
        <f t="shared" si="17"/>
        <v>237250.565</v>
      </c>
      <c r="G87" s="90"/>
      <c r="H87" s="83"/>
      <c r="I87" s="98"/>
      <c r="J87" s="102"/>
      <c r="K87" s="85"/>
      <c r="L87" s="86"/>
      <c r="M87" s="99" t="s">
        <v>114</v>
      </c>
    </row>
    <row r="88" spans="1:13" ht="14" x14ac:dyDescent="0.3">
      <c r="A88" s="100">
        <v>155552000014453</v>
      </c>
      <c r="B88" s="101" t="s">
        <v>185</v>
      </c>
      <c r="C88" s="87">
        <v>654401.04</v>
      </c>
      <c r="D88" s="88">
        <f t="shared" si="15"/>
        <v>261760.41600000003</v>
      </c>
      <c r="E88" s="89">
        <f t="shared" si="16"/>
        <v>65440.104000000007</v>
      </c>
      <c r="F88" s="89">
        <f t="shared" si="17"/>
        <v>327200.52</v>
      </c>
      <c r="G88" s="90"/>
      <c r="H88" s="83"/>
      <c r="I88" s="98"/>
      <c r="J88" s="102"/>
      <c r="K88" s="85"/>
      <c r="L88" s="86"/>
      <c r="M88" s="99" t="s">
        <v>114</v>
      </c>
    </row>
    <row r="89" spans="1:13" ht="14" x14ac:dyDescent="0.3">
      <c r="A89" s="100">
        <v>106702000005290</v>
      </c>
      <c r="B89" s="101" t="s">
        <v>206</v>
      </c>
      <c r="C89" s="87">
        <v>500420.08999999997</v>
      </c>
      <c r="D89" s="88">
        <f t="shared" si="15"/>
        <v>200168.03599999999</v>
      </c>
      <c r="E89" s="89">
        <f t="shared" si="16"/>
        <v>50042.008999999998</v>
      </c>
      <c r="F89" s="89">
        <f t="shared" si="17"/>
        <v>250210.04499999998</v>
      </c>
      <c r="G89" s="90"/>
      <c r="H89" s="83"/>
      <c r="I89" s="98"/>
      <c r="J89" s="102"/>
      <c r="K89" s="85"/>
      <c r="L89" s="86"/>
      <c r="M89" s="99" t="s">
        <v>114</v>
      </c>
    </row>
    <row r="90" spans="1:13" ht="14" x14ac:dyDescent="0.3">
      <c r="A90" s="100">
        <v>155802000014468</v>
      </c>
      <c r="B90" s="101" t="s">
        <v>207</v>
      </c>
      <c r="C90" s="87">
        <v>411394.15</v>
      </c>
      <c r="D90" s="88">
        <f t="shared" si="15"/>
        <v>164557.66000000003</v>
      </c>
      <c r="E90" s="89">
        <f t="shared" si="16"/>
        <v>41139.415000000008</v>
      </c>
      <c r="F90" s="89">
        <f t="shared" si="17"/>
        <v>205697.07500000001</v>
      </c>
      <c r="G90" s="90"/>
      <c r="H90" s="83"/>
      <c r="I90" s="98"/>
      <c r="J90" s="102"/>
      <c r="K90" s="85"/>
      <c r="L90" s="86"/>
      <c r="M90" s="99" t="s">
        <v>114</v>
      </c>
    </row>
    <row r="91" spans="1:13" ht="14" x14ac:dyDescent="0.3">
      <c r="A91" s="100">
        <v>152322000014139</v>
      </c>
      <c r="B91" s="101" t="s">
        <v>208</v>
      </c>
      <c r="C91" s="87">
        <v>432642.22000000003</v>
      </c>
      <c r="D91" s="88">
        <f t="shared" si="15"/>
        <v>173056.88800000004</v>
      </c>
      <c r="E91" s="89">
        <f t="shared" si="16"/>
        <v>43264.222000000009</v>
      </c>
      <c r="F91" s="89">
        <f t="shared" si="17"/>
        <v>216321.11000000002</v>
      </c>
      <c r="G91" s="90"/>
      <c r="H91" s="83"/>
      <c r="I91" s="98"/>
      <c r="J91" s="102"/>
      <c r="K91" s="85"/>
      <c r="L91" s="86"/>
      <c r="M91" s="99" t="s">
        <v>114</v>
      </c>
    </row>
    <row r="92" spans="1:13" ht="14" x14ac:dyDescent="0.3">
      <c r="A92" s="100">
        <v>151542000014042</v>
      </c>
      <c r="B92" s="101" t="s">
        <v>209</v>
      </c>
      <c r="C92" s="87">
        <v>486895.33</v>
      </c>
      <c r="D92" s="88">
        <f t="shared" si="15"/>
        <v>194758.13200000001</v>
      </c>
      <c r="E92" s="89">
        <f t="shared" si="16"/>
        <v>48689.533000000003</v>
      </c>
      <c r="F92" s="89">
        <f t="shared" si="17"/>
        <v>243447.66500000001</v>
      </c>
      <c r="G92" s="90"/>
      <c r="H92" s="83"/>
      <c r="I92" s="98"/>
      <c r="J92" s="102"/>
      <c r="K92" s="85"/>
      <c r="L92" s="86"/>
      <c r="M92" s="99" t="s">
        <v>114</v>
      </c>
    </row>
    <row r="93" spans="1:13" ht="14" x14ac:dyDescent="0.3">
      <c r="A93" s="100">
        <v>156872000014651</v>
      </c>
      <c r="B93" s="101" t="s">
        <v>128</v>
      </c>
      <c r="C93" s="87">
        <v>397216.51</v>
      </c>
      <c r="D93" s="88">
        <f>C93*0.24</f>
        <v>95331.962400000004</v>
      </c>
      <c r="E93" s="89">
        <f>C93*0.06</f>
        <v>23832.990600000001</v>
      </c>
      <c r="F93" s="89">
        <f>C93*0.7</f>
        <v>278051.55699999997</v>
      </c>
      <c r="G93" s="90" t="s">
        <v>135</v>
      </c>
      <c r="H93" s="83"/>
      <c r="I93" s="98"/>
      <c r="J93" s="84"/>
      <c r="K93" s="85"/>
      <c r="L93" s="86"/>
      <c r="M93" s="99" t="s">
        <v>114</v>
      </c>
    </row>
    <row r="94" spans="1:13" ht="14" x14ac:dyDescent="0.3">
      <c r="A94" s="100">
        <v>153472000014206</v>
      </c>
      <c r="B94" s="101" t="s">
        <v>210</v>
      </c>
      <c r="C94" s="87">
        <v>405803.1</v>
      </c>
      <c r="D94" s="88">
        <f t="shared" ref="D94:D147" si="18">C94*0.4</f>
        <v>162321.24</v>
      </c>
      <c r="E94" s="89">
        <f t="shared" ref="E94:E147" si="19">C94*0.1</f>
        <v>40580.31</v>
      </c>
      <c r="F94" s="89">
        <f t="shared" ref="F94:F147" si="20">C94*0.5</f>
        <v>202901.55</v>
      </c>
      <c r="G94" s="90"/>
      <c r="H94" s="83"/>
      <c r="I94" s="98"/>
      <c r="J94" s="102"/>
      <c r="K94" s="85"/>
      <c r="L94" s="86"/>
      <c r="M94" s="99" t="s">
        <v>114</v>
      </c>
    </row>
    <row r="95" spans="1:13" ht="14" x14ac:dyDescent="0.3">
      <c r="A95" s="100">
        <v>156232000014529</v>
      </c>
      <c r="B95" s="101" t="s">
        <v>211</v>
      </c>
      <c r="C95" s="87">
        <v>450773.26999999996</v>
      </c>
      <c r="D95" s="88">
        <f t="shared" si="18"/>
        <v>180309.30799999999</v>
      </c>
      <c r="E95" s="89">
        <f t="shared" si="19"/>
        <v>45077.326999999997</v>
      </c>
      <c r="F95" s="89">
        <f t="shared" si="20"/>
        <v>225386.63499999998</v>
      </c>
      <c r="G95" s="90"/>
      <c r="H95" s="83"/>
      <c r="I95" s="98"/>
      <c r="J95" s="102"/>
      <c r="K95" s="85"/>
      <c r="L95" s="86"/>
      <c r="M95" s="99" t="s">
        <v>114</v>
      </c>
    </row>
    <row r="96" spans="1:13" ht="14" x14ac:dyDescent="0.3">
      <c r="A96" s="100">
        <v>136732000012909</v>
      </c>
      <c r="B96" s="101" t="s">
        <v>212</v>
      </c>
      <c r="C96" s="87">
        <v>439431.9</v>
      </c>
      <c r="D96" s="88">
        <f t="shared" si="18"/>
        <v>175772.76</v>
      </c>
      <c r="E96" s="89">
        <f t="shared" si="19"/>
        <v>43943.19</v>
      </c>
      <c r="F96" s="89">
        <f t="shared" si="20"/>
        <v>219715.95</v>
      </c>
      <c r="G96" s="90"/>
      <c r="H96" s="83"/>
      <c r="I96" s="98"/>
      <c r="J96" s="102"/>
      <c r="K96" s="85"/>
      <c r="L96" s="86"/>
      <c r="M96" s="99" t="s">
        <v>114</v>
      </c>
    </row>
    <row r="97" spans="1:13" ht="14" x14ac:dyDescent="0.3">
      <c r="A97" s="100">
        <v>152362000014184</v>
      </c>
      <c r="B97" s="101" t="s">
        <v>213</v>
      </c>
      <c r="C97" s="87">
        <v>419441.61</v>
      </c>
      <c r="D97" s="88">
        <f t="shared" si="18"/>
        <v>167776.644</v>
      </c>
      <c r="E97" s="89">
        <f t="shared" si="19"/>
        <v>41944.161</v>
      </c>
      <c r="F97" s="89">
        <f t="shared" si="20"/>
        <v>209720.80499999999</v>
      </c>
      <c r="G97" s="90"/>
      <c r="H97" s="83"/>
      <c r="I97" s="98"/>
      <c r="J97" s="102"/>
      <c r="K97" s="85"/>
      <c r="L97" s="86"/>
      <c r="M97" s="99" t="s">
        <v>114</v>
      </c>
    </row>
    <row r="98" spans="1:13" ht="14" x14ac:dyDescent="0.3">
      <c r="A98" s="100">
        <v>300093200007093</v>
      </c>
      <c r="B98" s="101" t="s">
        <v>214</v>
      </c>
      <c r="C98" s="87">
        <v>525110.72</v>
      </c>
      <c r="D98" s="88">
        <f t="shared" si="18"/>
        <v>210044.288</v>
      </c>
      <c r="E98" s="89">
        <f t="shared" si="19"/>
        <v>52511.072</v>
      </c>
      <c r="F98" s="89">
        <f t="shared" si="20"/>
        <v>262555.36</v>
      </c>
      <c r="G98" s="90"/>
      <c r="H98" s="83"/>
      <c r="I98" s="98"/>
      <c r="J98" s="102"/>
      <c r="K98" s="85"/>
      <c r="L98" s="86"/>
      <c r="M98" s="99" t="s">
        <v>114</v>
      </c>
    </row>
    <row r="99" spans="1:13" ht="14" x14ac:dyDescent="0.3">
      <c r="A99" s="100">
        <v>134492000011225</v>
      </c>
      <c r="B99" s="101" t="s">
        <v>215</v>
      </c>
      <c r="C99" s="87">
        <v>456864.31999999995</v>
      </c>
      <c r="D99" s="88">
        <f t="shared" si="18"/>
        <v>182745.728</v>
      </c>
      <c r="E99" s="89">
        <f t="shared" si="19"/>
        <v>45686.432000000001</v>
      </c>
      <c r="F99" s="89">
        <f t="shared" si="20"/>
        <v>228432.15999999997</v>
      </c>
      <c r="G99" s="90"/>
      <c r="H99" s="83"/>
      <c r="I99" s="98"/>
      <c r="J99" s="102"/>
      <c r="K99" s="85"/>
      <c r="L99" s="86"/>
      <c r="M99" s="99" t="s">
        <v>114</v>
      </c>
    </row>
    <row r="100" spans="1:13" ht="14" x14ac:dyDescent="0.3">
      <c r="A100" s="100">
        <v>151342000014031</v>
      </c>
      <c r="B100" s="101" t="s">
        <v>216</v>
      </c>
      <c r="C100" s="87">
        <v>716836.24</v>
      </c>
      <c r="D100" s="88">
        <f t="shared" si="18"/>
        <v>286734.49599999998</v>
      </c>
      <c r="E100" s="89">
        <f t="shared" si="19"/>
        <v>71683.623999999996</v>
      </c>
      <c r="F100" s="89">
        <f t="shared" si="20"/>
        <v>358418.12</v>
      </c>
      <c r="G100" s="90"/>
      <c r="H100" s="83"/>
      <c r="I100" s="98"/>
      <c r="J100" s="102"/>
      <c r="K100" s="85"/>
      <c r="L100" s="86"/>
      <c r="M100" s="99" t="s">
        <v>114</v>
      </c>
    </row>
    <row r="101" spans="1:13" ht="14" x14ac:dyDescent="0.3">
      <c r="A101" s="100">
        <v>148112000013330</v>
      </c>
      <c r="B101" s="101" t="s">
        <v>217</v>
      </c>
      <c r="C101" s="87">
        <v>415523.66</v>
      </c>
      <c r="D101" s="88">
        <f t="shared" si="18"/>
        <v>166209.46400000001</v>
      </c>
      <c r="E101" s="89">
        <f t="shared" si="19"/>
        <v>41552.366000000002</v>
      </c>
      <c r="F101" s="89">
        <f t="shared" si="20"/>
        <v>207761.83</v>
      </c>
      <c r="G101" s="90"/>
      <c r="H101" s="83"/>
      <c r="I101" s="98"/>
      <c r="J101" s="102"/>
      <c r="K101" s="85"/>
      <c r="L101" s="86"/>
      <c r="M101" s="99" t="s">
        <v>114</v>
      </c>
    </row>
    <row r="102" spans="1:13" ht="14" x14ac:dyDescent="0.3">
      <c r="A102" s="100">
        <v>155012000014388</v>
      </c>
      <c r="B102" s="101" t="s">
        <v>218</v>
      </c>
      <c r="C102" s="87">
        <v>436178.28</v>
      </c>
      <c r="D102" s="88">
        <f t="shared" si="18"/>
        <v>174471.31200000003</v>
      </c>
      <c r="E102" s="89">
        <f t="shared" si="19"/>
        <v>43617.828000000009</v>
      </c>
      <c r="F102" s="89">
        <f t="shared" si="20"/>
        <v>218089.14</v>
      </c>
      <c r="G102" s="90"/>
      <c r="H102" s="83"/>
      <c r="I102" s="98"/>
      <c r="J102" s="102"/>
      <c r="K102" s="85"/>
      <c r="L102" s="86"/>
      <c r="M102" s="99" t="s">
        <v>114</v>
      </c>
    </row>
    <row r="103" spans="1:13" ht="14" x14ac:dyDescent="0.3">
      <c r="A103" s="100">
        <v>3000232000007020</v>
      </c>
      <c r="B103" s="101" t="s">
        <v>47</v>
      </c>
      <c r="C103" s="87">
        <v>743767.70000000007</v>
      </c>
      <c r="D103" s="88">
        <f t="shared" si="18"/>
        <v>297507.08</v>
      </c>
      <c r="E103" s="89">
        <f t="shared" si="19"/>
        <v>74376.77</v>
      </c>
      <c r="F103" s="89">
        <f t="shared" si="20"/>
        <v>371883.85000000003</v>
      </c>
      <c r="G103" s="90"/>
      <c r="H103" s="83"/>
      <c r="I103" s="98"/>
      <c r="J103" s="102"/>
      <c r="K103" s="85"/>
      <c r="L103" s="86"/>
      <c r="M103" s="99" t="s">
        <v>114</v>
      </c>
    </row>
    <row r="104" spans="1:13" ht="14" x14ac:dyDescent="0.3">
      <c r="A104" s="100">
        <v>151022000014034</v>
      </c>
      <c r="B104" s="101" t="s">
        <v>203</v>
      </c>
      <c r="C104" s="87">
        <v>429592.99</v>
      </c>
      <c r="D104" s="88">
        <f t="shared" si="18"/>
        <v>171837.196</v>
      </c>
      <c r="E104" s="89">
        <f t="shared" si="19"/>
        <v>42959.298999999999</v>
      </c>
      <c r="F104" s="89">
        <f t="shared" si="20"/>
        <v>214796.495</v>
      </c>
      <c r="G104" s="90"/>
      <c r="H104" s="83"/>
      <c r="I104" s="98"/>
      <c r="J104" s="102"/>
      <c r="K104" s="85"/>
      <c r="L104" s="86"/>
      <c r="M104" s="99" t="s">
        <v>114</v>
      </c>
    </row>
    <row r="105" spans="1:13" ht="14" x14ac:dyDescent="0.3">
      <c r="A105" s="100">
        <v>151712000014056</v>
      </c>
      <c r="B105" s="101" t="s">
        <v>219</v>
      </c>
      <c r="C105" s="87">
        <v>379275.54</v>
      </c>
      <c r="D105" s="88">
        <f t="shared" si="18"/>
        <v>151710.21599999999</v>
      </c>
      <c r="E105" s="89">
        <f t="shared" si="19"/>
        <v>37927.553999999996</v>
      </c>
      <c r="F105" s="89">
        <f t="shared" si="20"/>
        <v>189637.77</v>
      </c>
      <c r="G105" s="90"/>
      <c r="H105" s="83"/>
      <c r="I105" s="98"/>
      <c r="J105" s="102"/>
      <c r="K105" s="85"/>
      <c r="L105" s="86"/>
      <c r="M105" s="99" t="s">
        <v>114</v>
      </c>
    </row>
    <row r="106" spans="1:13" ht="14" x14ac:dyDescent="0.3">
      <c r="A106" s="100">
        <v>300004200007005</v>
      </c>
      <c r="B106" s="101" t="s">
        <v>220</v>
      </c>
      <c r="C106" s="87">
        <v>347067.45</v>
      </c>
      <c r="D106" s="88">
        <f t="shared" si="18"/>
        <v>138826.98000000001</v>
      </c>
      <c r="E106" s="89">
        <f t="shared" si="19"/>
        <v>34706.745000000003</v>
      </c>
      <c r="F106" s="89">
        <f t="shared" si="20"/>
        <v>173533.72500000001</v>
      </c>
      <c r="G106" s="90"/>
      <c r="H106" s="83"/>
      <c r="I106" s="98"/>
      <c r="J106" s="102"/>
      <c r="K106" s="85"/>
      <c r="L106" s="86"/>
      <c r="M106" s="99" t="s">
        <v>114</v>
      </c>
    </row>
    <row r="107" spans="1:13" ht="14" x14ac:dyDescent="0.3">
      <c r="A107" s="100">
        <v>151312000014030</v>
      </c>
      <c r="B107" s="101" t="s">
        <v>221</v>
      </c>
      <c r="C107" s="87">
        <v>411899.32</v>
      </c>
      <c r="D107" s="88">
        <f t="shared" si="18"/>
        <v>164759.728</v>
      </c>
      <c r="E107" s="89">
        <f t="shared" si="19"/>
        <v>41189.932000000001</v>
      </c>
      <c r="F107" s="89">
        <f t="shared" si="20"/>
        <v>205949.66</v>
      </c>
      <c r="G107" s="90"/>
      <c r="H107" s="83"/>
      <c r="I107" s="98"/>
      <c r="J107" s="102"/>
      <c r="K107" s="85"/>
      <c r="L107" s="86"/>
      <c r="M107" s="99" t="s">
        <v>114</v>
      </c>
    </row>
    <row r="108" spans="1:13" ht="14" x14ac:dyDescent="0.3">
      <c r="A108" s="100">
        <v>151072000014009</v>
      </c>
      <c r="B108" s="101" t="s">
        <v>222</v>
      </c>
      <c r="C108" s="87">
        <v>266583.53000000003</v>
      </c>
      <c r="D108" s="88">
        <f t="shared" si="18"/>
        <v>106633.41200000001</v>
      </c>
      <c r="E108" s="89">
        <f t="shared" si="19"/>
        <v>26658.353000000003</v>
      </c>
      <c r="F108" s="89">
        <f t="shared" si="20"/>
        <v>133291.76500000001</v>
      </c>
      <c r="G108" s="90"/>
      <c r="H108" s="83"/>
      <c r="I108" s="98"/>
      <c r="J108" s="102"/>
      <c r="K108" s="85"/>
      <c r="L108" s="86"/>
      <c r="M108" s="99" t="s">
        <v>114</v>
      </c>
    </row>
    <row r="109" spans="1:13" ht="14" x14ac:dyDescent="0.3">
      <c r="A109" s="103">
        <v>152342000014182</v>
      </c>
      <c r="B109" s="101" t="s">
        <v>223</v>
      </c>
      <c r="C109" s="87">
        <v>358659.24</v>
      </c>
      <c r="D109" s="88">
        <f t="shared" si="18"/>
        <v>143463.696</v>
      </c>
      <c r="E109" s="89">
        <f t="shared" si="19"/>
        <v>35865.923999999999</v>
      </c>
      <c r="F109" s="89">
        <f t="shared" si="20"/>
        <v>179329.62</v>
      </c>
      <c r="G109" s="90"/>
      <c r="H109" s="83"/>
      <c r="I109" s="98"/>
      <c r="J109" s="102"/>
      <c r="K109" s="85"/>
      <c r="L109" s="86"/>
      <c r="M109" s="99" t="s">
        <v>114</v>
      </c>
    </row>
    <row r="110" spans="1:13" ht="14" x14ac:dyDescent="0.3">
      <c r="A110" s="100">
        <v>156592000014586</v>
      </c>
      <c r="B110" s="101" t="s">
        <v>224</v>
      </c>
      <c r="C110" s="87">
        <v>393821.41</v>
      </c>
      <c r="D110" s="88">
        <f t="shared" si="18"/>
        <v>157528.56400000001</v>
      </c>
      <c r="E110" s="89">
        <f t="shared" si="19"/>
        <v>39382.141000000003</v>
      </c>
      <c r="F110" s="89">
        <f t="shared" si="20"/>
        <v>196910.70499999999</v>
      </c>
      <c r="G110" s="90"/>
      <c r="H110" s="83"/>
      <c r="I110" s="98"/>
      <c r="J110" s="102"/>
      <c r="K110" s="85"/>
      <c r="L110" s="86"/>
      <c r="M110" s="99" t="s">
        <v>114</v>
      </c>
    </row>
    <row r="111" spans="1:13" ht="14" x14ac:dyDescent="0.3">
      <c r="A111" s="100">
        <v>151732000014058</v>
      </c>
      <c r="B111" s="101" t="s">
        <v>225</v>
      </c>
      <c r="C111" s="87">
        <v>596540.13</v>
      </c>
      <c r="D111" s="88">
        <f t="shared" si="18"/>
        <v>238616.05200000003</v>
      </c>
      <c r="E111" s="89">
        <f t="shared" si="19"/>
        <v>59654.013000000006</v>
      </c>
      <c r="F111" s="89">
        <f t="shared" si="20"/>
        <v>298270.065</v>
      </c>
      <c r="G111" s="90"/>
      <c r="H111" s="83"/>
      <c r="I111" s="98"/>
      <c r="J111" s="102"/>
      <c r="K111" s="85"/>
      <c r="L111" s="86"/>
      <c r="M111" s="99" t="s">
        <v>114</v>
      </c>
    </row>
    <row r="112" spans="1:13" ht="14" x14ac:dyDescent="0.3">
      <c r="A112" s="100">
        <v>155232000014397</v>
      </c>
      <c r="B112" s="101" t="s">
        <v>226</v>
      </c>
      <c r="C112" s="87">
        <v>387299.56</v>
      </c>
      <c r="D112" s="88">
        <f t="shared" si="18"/>
        <v>154919.82399999999</v>
      </c>
      <c r="E112" s="89">
        <f t="shared" si="19"/>
        <v>38729.955999999998</v>
      </c>
      <c r="F112" s="89">
        <f t="shared" si="20"/>
        <v>193649.78</v>
      </c>
      <c r="G112" s="90"/>
      <c r="H112" s="83"/>
      <c r="I112" s="98"/>
      <c r="J112" s="102"/>
      <c r="K112" s="85"/>
      <c r="L112" s="86"/>
      <c r="M112" s="99" t="s">
        <v>114</v>
      </c>
    </row>
    <row r="113" spans="1:13" ht="14" x14ac:dyDescent="0.3">
      <c r="A113" s="100">
        <v>155632000014487</v>
      </c>
      <c r="B113" s="101" t="s">
        <v>227</v>
      </c>
      <c r="C113" s="87">
        <v>492890.32</v>
      </c>
      <c r="D113" s="88">
        <f t="shared" si="18"/>
        <v>197156.12800000003</v>
      </c>
      <c r="E113" s="89">
        <f t="shared" si="19"/>
        <v>49289.032000000007</v>
      </c>
      <c r="F113" s="89">
        <f t="shared" si="20"/>
        <v>246445.16</v>
      </c>
      <c r="G113" s="90"/>
      <c r="H113" s="83"/>
      <c r="I113" s="98"/>
      <c r="J113" s="102"/>
      <c r="K113" s="85"/>
      <c r="L113" s="86"/>
      <c r="M113" s="99" t="s">
        <v>114</v>
      </c>
    </row>
    <row r="114" spans="1:13" ht="14" x14ac:dyDescent="0.3">
      <c r="A114" s="100">
        <v>151032000014021</v>
      </c>
      <c r="B114" s="101" t="s">
        <v>228</v>
      </c>
      <c r="C114" s="87">
        <v>369346.23</v>
      </c>
      <c r="D114" s="88">
        <f t="shared" si="18"/>
        <v>147738.492</v>
      </c>
      <c r="E114" s="89">
        <f t="shared" si="19"/>
        <v>36934.623</v>
      </c>
      <c r="F114" s="89">
        <f t="shared" si="20"/>
        <v>184673.11499999999</v>
      </c>
      <c r="G114" s="90"/>
      <c r="H114" s="83"/>
      <c r="I114" s="98"/>
      <c r="J114" s="102"/>
      <c r="K114" s="85"/>
      <c r="L114" s="86"/>
      <c r="M114" s="99" t="s">
        <v>114</v>
      </c>
    </row>
    <row r="115" spans="1:13" ht="14" x14ac:dyDescent="0.3">
      <c r="A115" s="100">
        <v>300068200007068</v>
      </c>
      <c r="B115" s="101" t="s">
        <v>229</v>
      </c>
      <c r="C115" s="87">
        <v>331001.42000000004</v>
      </c>
      <c r="D115" s="88">
        <f t="shared" si="18"/>
        <v>132400.56800000003</v>
      </c>
      <c r="E115" s="89">
        <f t="shared" si="19"/>
        <v>33100.142000000007</v>
      </c>
      <c r="F115" s="89">
        <f t="shared" si="20"/>
        <v>165500.71000000002</v>
      </c>
      <c r="G115" s="90"/>
      <c r="H115" s="83"/>
      <c r="I115" s="98"/>
      <c r="J115" s="102"/>
      <c r="K115" s="85"/>
      <c r="L115" s="86"/>
      <c r="M115" s="99" t="s">
        <v>114</v>
      </c>
    </row>
    <row r="116" spans="1:13" ht="14" x14ac:dyDescent="0.3">
      <c r="A116" s="100">
        <v>152352000014140</v>
      </c>
      <c r="B116" s="101" t="s">
        <v>230</v>
      </c>
      <c r="C116" s="87">
        <v>303857.86</v>
      </c>
      <c r="D116" s="88">
        <f t="shared" si="18"/>
        <v>121543.144</v>
      </c>
      <c r="E116" s="89">
        <f t="shared" si="19"/>
        <v>30385.786</v>
      </c>
      <c r="F116" s="89">
        <f t="shared" si="20"/>
        <v>151928.93</v>
      </c>
      <c r="G116" s="90"/>
      <c r="H116" s="83"/>
      <c r="I116" s="98"/>
      <c r="J116" s="102"/>
      <c r="K116" s="85"/>
      <c r="L116" s="86"/>
      <c r="M116" s="99" t="s">
        <v>114</v>
      </c>
    </row>
    <row r="117" spans="1:13" ht="14" x14ac:dyDescent="0.3">
      <c r="A117" s="100">
        <v>300067200007067</v>
      </c>
      <c r="B117" s="101" t="s">
        <v>231</v>
      </c>
      <c r="C117" s="87">
        <v>551113.41999999993</v>
      </c>
      <c r="D117" s="88">
        <f t="shared" si="18"/>
        <v>220445.36799999999</v>
      </c>
      <c r="E117" s="89">
        <f t="shared" si="19"/>
        <v>55111.341999999997</v>
      </c>
      <c r="F117" s="89">
        <f t="shared" si="20"/>
        <v>275556.70999999996</v>
      </c>
      <c r="G117" s="90"/>
      <c r="H117" s="83"/>
      <c r="I117" s="98"/>
      <c r="J117" s="102"/>
      <c r="K117" s="85"/>
      <c r="L117" s="86"/>
      <c r="M117" s="99" t="s">
        <v>114</v>
      </c>
    </row>
    <row r="118" spans="1:13" ht="14" x14ac:dyDescent="0.3">
      <c r="A118" s="100">
        <v>156832000014659</v>
      </c>
      <c r="B118" s="101" t="s">
        <v>232</v>
      </c>
      <c r="C118" s="87">
        <v>336924.38</v>
      </c>
      <c r="D118" s="88">
        <f t="shared" si="18"/>
        <v>134769.75200000001</v>
      </c>
      <c r="E118" s="89">
        <f t="shared" si="19"/>
        <v>33692.438000000002</v>
      </c>
      <c r="F118" s="89">
        <f t="shared" si="20"/>
        <v>168462.19</v>
      </c>
      <c r="G118" s="90"/>
      <c r="H118" s="83"/>
      <c r="I118" s="98"/>
      <c r="J118" s="102"/>
      <c r="K118" s="85"/>
      <c r="L118" s="86"/>
      <c r="M118" s="99" t="s">
        <v>114</v>
      </c>
    </row>
    <row r="119" spans="1:13" ht="14" x14ac:dyDescent="0.3">
      <c r="A119" s="100">
        <v>151532000014072</v>
      </c>
      <c r="B119" s="101" t="s">
        <v>233</v>
      </c>
      <c r="C119" s="87">
        <v>443001.39999999997</v>
      </c>
      <c r="D119" s="88">
        <f t="shared" si="18"/>
        <v>177200.56</v>
      </c>
      <c r="E119" s="89">
        <f t="shared" si="19"/>
        <v>44300.14</v>
      </c>
      <c r="F119" s="89">
        <f t="shared" si="20"/>
        <v>221500.69999999998</v>
      </c>
      <c r="G119" s="90"/>
      <c r="H119" s="83"/>
      <c r="I119" s="98"/>
      <c r="J119" s="102"/>
      <c r="K119" s="85"/>
      <c r="L119" s="86"/>
      <c r="M119" s="99" t="s">
        <v>114</v>
      </c>
    </row>
    <row r="120" spans="1:13" ht="14" x14ac:dyDescent="0.3">
      <c r="A120" s="100">
        <v>151542000014530</v>
      </c>
      <c r="B120" s="101" t="s">
        <v>234</v>
      </c>
      <c r="C120" s="87">
        <v>330269.65999999997</v>
      </c>
      <c r="D120" s="88">
        <f t="shared" si="18"/>
        <v>132107.864</v>
      </c>
      <c r="E120" s="89">
        <f t="shared" si="19"/>
        <v>33026.966</v>
      </c>
      <c r="F120" s="89">
        <f t="shared" si="20"/>
        <v>165134.82999999999</v>
      </c>
      <c r="G120" s="90"/>
      <c r="H120" s="83"/>
      <c r="I120" s="98"/>
      <c r="J120" s="102"/>
      <c r="K120" s="85"/>
      <c r="L120" s="86"/>
      <c r="M120" s="99" t="s">
        <v>114</v>
      </c>
    </row>
    <row r="121" spans="1:13" ht="14" x14ac:dyDescent="0.3">
      <c r="A121" s="100">
        <v>153462000014205</v>
      </c>
      <c r="B121" s="101" t="s">
        <v>235</v>
      </c>
      <c r="C121" s="87">
        <v>331325.58</v>
      </c>
      <c r="D121" s="88">
        <f t="shared" si="18"/>
        <v>132530.23200000002</v>
      </c>
      <c r="E121" s="89">
        <f t="shared" si="19"/>
        <v>33132.558000000005</v>
      </c>
      <c r="F121" s="89">
        <f t="shared" si="20"/>
        <v>165662.79</v>
      </c>
      <c r="G121" s="90"/>
      <c r="H121" s="83"/>
      <c r="I121" s="98"/>
      <c r="J121" s="102"/>
      <c r="K121" s="85"/>
      <c r="L121" s="86"/>
      <c r="M121" s="99" t="s">
        <v>114</v>
      </c>
    </row>
    <row r="122" spans="1:13" ht="14" x14ac:dyDescent="0.3">
      <c r="A122" s="100">
        <v>156572000014603</v>
      </c>
      <c r="B122" s="101" t="s">
        <v>236</v>
      </c>
      <c r="C122" s="87">
        <v>339197.52</v>
      </c>
      <c r="D122" s="88">
        <f t="shared" si="18"/>
        <v>135679.008</v>
      </c>
      <c r="E122" s="89">
        <f t="shared" si="19"/>
        <v>33919.752</v>
      </c>
      <c r="F122" s="89">
        <f t="shared" si="20"/>
        <v>169598.76</v>
      </c>
      <c r="G122" s="90"/>
      <c r="H122" s="83"/>
      <c r="I122" s="98"/>
      <c r="J122" s="102"/>
      <c r="K122" s="85"/>
      <c r="L122" s="86"/>
      <c r="M122" s="99" t="s">
        <v>114</v>
      </c>
    </row>
    <row r="123" spans="1:13" ht="14" x14ac:dyDescent="0.3">
      <c r="A123" s="100">
        <v>150252000013969</v>
      </c>
      <c r="B123" s="101" t="s">
        <v>237</v>
      </c>
      <c r="C123" s="87">
        <v>318627.24</v>
      </c>
      <c r="D123" s="88">
        <f t="shared" si="18"/>
        <v>127450.89600000001</v>
      </c>
      <c r="E123" s="89">
        <f t="shared" si="19"/>
        <v>31862.724000000002</v>
      </c>
      <c r="F123" s="89">
        <f t="shared" si="20"/>
        <v>159313.62</v>
      </c>
      <c r="G123" s="90"/>
      <c r="H123" s="83"/>
      <c r="I123" s="98"/>
      <c r="J123" s="102"/>
      <c r="K123" s="85"/>
      <c r="L123" s="86"/>
      <c r="M123" s="99" t="s">
        <v>114</v>
      </c>
    </row>
    <row r="124" spans="1:13" ht="14" x14ac:dyDescent="0.3">
      <c r="A124" s="100">
        <v>300060200007060</v>
      </c>
      <c r="B124" s="101" t="s">
        <v>238</v>
      </c>
      <c r="C124" s="87">
        <v>317130.49</v>
      </c>
      <c r="D124" s="88">
        <f t="shared" si="18"/>
        <v>126852.196</v>
      </c>
      <c r="E124" s="89">
        <f t="shared" si="19"/>
        <v>31713.048999999999</v>
      </c>
      <c r="F124" s="89">
        <f t="shared" si="20"/>
        <v>158565.245</v>
      </c>
      <c r="G124" s="90"/>
      <c r="H124" s="83"/>
      <c r="I124" s="98"/>
      <c r="J124" s="102"/>
      <c r="K124" s="85"/>
      <c r="L124" s="86"/>
      <c r="M124" s="99" t="s">
        <v>114</v>
      </c>
    </row>
    <row r="125" spans="1:13" ht="14" x14ac:dyDescent="0.3">
      <c r="A125" s="100">
        <v>156312000014535</v>
      </c>
      <c r="B125" s="101" t="s">
        <v>239</v>
      </c>
      <c r="C125" s="87">
        <v>292067.96999999997</v>
      </c>
      <c r="D125" s="88">
        <f t="shared" si="18"/>
        <v>116827.18799999999</v>
      </c>
      <c r="E125" s="89">
        <f t="shared" si="19"/>
        <v>29206.796999999999</v>
      </c>
      <c r="F125" s="89">
        <f t="shared" si="20"/>
        <v>146033.98499999999</v>
      </c>
      <c r="G125" s="90"/>
      <c r="H125" s="83"/>
      <c r="I125" s="98"/>
      <c r="J125" s="102"/>
      <c r="K125" s="85"/>
      <c r="L125" s="86"/>
      <c r="M125" s="99" t="s">
        <v>114</v>
      </c>
    </row>
    <row r="126" spans="1:13" ht="14" x14ac:dyDescent="0.3">
      <c r="A126" s="100">
        <v>300034200007034</v>
      </c>
      <c r="B126" s="101" t="s">
        <v>240</v>
      </c>
      <c r="C126" s="87">
        <v>289570.46000000002</v>
      </c>
      <c r="D126" s="88">
        <f t="shared" si="18"/>
        <v>115828.18400000001</v>
      </c>
      <c r="E126" s="89">
        <f t="shared" si="19"/>
        <v>28957.046000000002</v>
      </c>
      <c r="F126" s="89">
        <f t="shared" si="20"/>
        <v>144785.23000000001</v>
      </c>
      <c r="G126" s="90"/>
      <c r="H126" s="83"/>
      <c r="I126" s="98"/>
      <c r="J126" s="102"/>
      <c r="K126" s="85"/>
      <c r="L126" s="86"/>
      <c r="M126" s="99" t="s">
        <v>114</v>
      </c>
    </row>
    <row r="127" spans="1:13" ht="14" x14ac:dyDescent="0.3">
      <c r="A127" s="100">
        <v>152012000014209</v>
      </c>
      <c r="B127" s="101" t="s">
        <v>241</v>
      </c>
      <c r="C127" s="87">
        <v>429278.52999999997</v>
      </c>
      <c r="D127" s="88">
        <f t="shared" si="18"/>
        <v>171711.41200000001</v>
      </c>
      <c r="E127" s="89">
        <f t="shared" si="19"/>
        <v>42927.853000000003</v>
      </c>
      <c r="F127" s="89">
        <f t="shared" si="20"/>
        <v>214639.26499999998</v>
      </c>
      <c r="G127" s="90"/>
      <c r="H127" s="83"/>
      <c r="I127" s="98"/>
      <c r="J127" s="102"/>
      <c r="K127" s="85"/>
      <c r="L127" s="86"/>
      <c r="M127" s="99" t="s">
        <v>114</v>
      </c>
    </row>
    <row r="128" spans="1:13" ht="14" x14ac:dyDescent="0.3">
      <c r="A128" s="100">
        <v>146092000013106</v>
      </c>
      <c r="B128" s="101" t="s">
        <v>242</v>
      </c>
      <c r="C128" s="87">
        <v>341334.58</v>
      </c>
      <c r="D128" s="88">
        <f t="shared" si="18"/>
        <v>136533.83200000002</v>
      </c>
      <c r="E128" s="89">
        <f t="shared" si="19"/>
        <v>34133.458000000006</v>
      </c>
      <c r="F128" s="89">
        <f t="shared" si="20"/>
        <v>170667.29</v>
      </c>
      <c r="G128" s="90"/>
      <c r="H128" s="83"/>
      <c r="I128" s="98"/>
      <c r="J128" s="102"/>
      <c r="K128" s="85"/>
      <c r="L128" s="86"/>
      <c r="M128" s="99" t="s">
        <v>114</v>
      </c>
    </row>
    <row r="129" spans="1:13" ht="14" x14ac:dyDescent="0.3">
      <c r="A129" s="100">
        <v>153362000014281</v>
      </c>
      <c r="B129" s="101" t="s">
        <v>237</v>
      </c>
      <c r="C129" s="87">
        <v>298017.24000000005</v>
      </c>
      <c r="D129" s="88">
        <f t="shared" si="18"/>
        <v>119206.89600000002</v>
      </c>
      <c r="E129" s="89">
        <f t="shared" si="19"/>
        <v>29801.724000000006</v>
      </c>
      <c r="F129" s="89">
        <f t="shared" si="20"/>
        <v>149008.62000000002</v>
      </c>
      <c r="G129" s="90"/>
      <c r="H129" s="83"/>
      <c r="I129" s="98"/>
      <c r="J129" s="102"/>
      <c r="K129" s="85"/>
      <c r="L129" s="86"/>
      <c r="M129" s="99" t="s">
        <v>114</v>
      </c>
    </row>
    <row r="130" spans="1:13" ht="14" x14ac:dyDescent="0.3">
      <c r="A130" s="100">
        <v>150742000014020</v>
      </c>
      <c r="B130" s="101" t="s">
        <v>243</v>
      </c>
      <c r="C130" s="87">
        <v>282278.71999999997</v>
      </c>
      <c r="D130" s="88">
        <f t="shared" si="18"/>
        <v>112911.488</v>
      </c>
      <c r="E130" s="89">
        <f t="shared" si="19"/>
        <v>28227.871999999999</v>
      </c>
      <c r="F130" s="89">
        <f t="shared" si="20"/>
        <v>141139.35999999999</v>
      </c>
      <c r="G130" s="90"/>
      <c r="H130" s="83"/>
      <c r="I130" s="98"/>
      <c r="J130" s="102"/>
      <c r="K130" s="85"/>
      <c r="L130" s="86"/>
      <c r="M130" s="99" t="s">
        <v>114</v>
      </c>
    </row>
    <row r="131" spans="1:13" ht="14" x14ac:dyDescent="0.3">
      <c r="A131" s="100">
        <v>156512000014549</v>
      </c>
      <c r="B131" s="101" t="s">
        <v>244</v>
      </c>
      <c r="C131" s="87">
        <v>17324.140000000003</v>
      </c>
      <c r="D131" s="88">
        <f t="shared" si="18"/>
        <v>6929.6560000000018</v>
      </c>
      <c r="E131" s="89">
        <f t="shared" si="19"/>
        <v>1732.4140000000004</v>
      </c>
      <c r="F131" s="89">
        <f t="shared" si="20"/>
        <v>8662.0700000000015</v>
      </c>
      <c r="G131" s="90"/>
      <c r="H131" s="83"/>
      <c r="I131" s="98"/>
      <c r="J131" s="102"/>
      <c r="K131" s="85"/>
      <c r="L131" s="86"/>
      <c r="M131" s="99" t="s">
        <v>114</v>
      </c>
    </row>
    <row r="132" spans="1:13" ht="14" x14ac:dyDescent="0.3">
      <c r="A132" s="100">
        <v>136912000012413</v>
      </c>
      <c r="B132" s="101" t="s">
        <v>245</v>
      </c>
      <c r="C132" s="87">
        <v>276826.34999999998</v>
      </c>
      <c r="D132" s="88">
        <f t="shared" si="18"/>
        <v>110730.54</v>
      </c>
      <c r="E132" s="89">
        <f t="shared" si="19"/>
        <v>27682.634999999998</v>
      </c>
      <c r="F132" s="89">
        <f t="shared" si="20"/>
        <v>138413.17499999999</v>
      </c>
      <c r="G132" s="90"/>
      <c r="H132" s="83"/>
      <c r="I132" s="98"/>
      <c r="J132" s="102"/>
      <c r="K132" s="85"/>
      <c r="L132" s="86"/>
      <c r="M132" s="99" t="s">
        <v>114</v>
      </c>
    </row>
    <row r="133" spans="1:13" ht="14" x14ac:dyDescent="0.3">
      <c r="A133" s="100">
        <v>300093200007094</v>
      </c>
      <c r="B133" s="101" t="s">
        <v>246</v>
      </c>
      <c r="C133" s="87">
        <v>253082.48</v>
      </c>
      <c r="D133" s="88">
        <f t="shared" si="18"/>
        <v>101232.99200000001</v>
      </c>
      <c r="E133" s="89">
        <f t="shared" si="19"/>
        <v>25308.248000000003</v>
      </c>
      <c r="F133" s="89">
        <f t="shared" si="20"/>
        <v>126541.24</v>
      </c>
      <c r="G133" s="90"/>
      <c r="H133" s="83"/>
      <c r="I133" s="98"/>
      <c r="J133" s="102"/>
      <c r="K133" s="85"/>
      <c r="L133" s="86"/>
      <c r="M133" s="99" t="s">
        <v>114</v>
      </c>
    </row>
    <row r="134" spans="1:13" ht="14" x14ac:dyDescent="0.3">
      <c r="A134" s="100">
        <v>154742000014381</v>
      </c>
      <c r="B134" s="101" t="s">
        <v>148</v>
      </c>
      <c r="C134" s="87">
        <v>261196.53</v>
      </c>
      <c r="D134" s="88">
        <f t="shared" si="18"/>
        <v>104478.61200000001</v>
      </c>
      <c r="E134" s="89">
        <f t="shared" si="19"/>
        <v>26119.653000000002</v>
      </c>
      <c r="F134" s="89">
        <f t="shared" si="20"/>
        <v>130598.265</v>
      </c>
      <c r="G134" s="90"/>
      <c r="H134" s="83"/>
      <c r="I134" s="98"/>
      <c r="J134" s="102"/>
      <c r="K134" s="85"/>
      <c r="L134" s="86"/>
      <c r="M134" s="99" t="s">
        <v>114</v>
      </c>
    </row>
    <row r="135" spans="1:13" ht="14" x14ac:dyDescent="0.3">
      <c r="A135" s="100">
        <v>152382000014180</v>
      </c>
      <c r="B135" s="101" t="s">
        <v>247</v>
      </c>
      <c r="C135" s="87">
        <v>235187.54</v>
      </c>
      <c r="D135" s="88">
        <f t="shared" si="18"/>
        <v>94075.016000000003</v>
      </c>
      <c r="E135" s="89">
        <f t="shared" si="19"/>
        <v>23518.754000000001</v>
      </c>
      <c r="F135" s="89">
        <f t="shared" si="20"/>
        <v>117593.77</v>
      </c>
      <c r="G135" s="90"/>
      <c r="H135" s="83"/>
      <c r="I135" s="98"/>
      <c r="J135" s="102"/>
      <c r="K135" s="85"/>
      <c r="L135" s="86"/>
      <c r="M135" s="99" t="s">
        <v>114</v>
      </c>
    </row>
    <row r="136" spans="1:13" ht="14" x14ac:dyDescent="0.3">
      <c r="A136" s="100">
        <v>300100200007100</v>
      </c>
      <c r="B136" s="101" t="s">
        <v>150</v>
      </c>
      <c r="C136" s="87">
        <v>659143.41</v>
      </c>
      <c r="D136" s="88">
        <f t="shared" si="18"/>
        <v>263657.364</v>
      </c>
      <c r="E136" s="89">
        <f t="shared" si="19"/>
        <v>65914.341</v>
      </c>
      <c r="F136" s="89">
        <f t="shared" si="20"/>
        <v>329571.70500000002</v>
      </c>
      <c r="G136" s="90"/>
      <c r="H136" s="83"/>
      <c r="I136" s="98"/>
      <c r="J136" s="102"/>
      <c r="K136" s="85"/>
      <c r="L136" s="86"/>
      <c r="M136" s="99" t="s">
        <v>114</v>
      </c>
    </row>
    <row r="137" spans="1:13" ht="14" x14ac:dyDescent="0.3">
      <c r="A137" s="100">
        <v>154652000014387</v>
      </c>
      <c r="B137" s="101" t="s">
        <v>248</v>
      </c>
      <c r="C137" s="87">
        <v>273994.93</v>
      </c>
      <c r="D137" s="88">
        <f t="shared" si="18"/>
        <v>109597.97200000001</v>
      </c>
      <c r="E137" s="89">
        <f t="shared" si="19"/>
        <v>27399.493000000002</v>
      </c>
      <c r="F137" s="89">
        <f t="shared" si="20"/>
        <v>136997.465</v>
      </c>
      <c r="G137" s="90"/>
      <c r="H137" s="83"/>
      <c r="I137" s="98"/>
      <c r="J137" s="102"/>
      <c r="K137" s="85"/>
      <c r="L137" s="86"/>
      <c r="M137" s="99" t="s">
        <v>114</v>
      </c>
    </row>
    <row r="138" spans="1:13" ht="14" x14ac:dyDescent="0.3">
      <c r="A138" s="100">
        <v>157002000014713</v>
      </c>
      <c r="B138" s="101" t="s">
        <v>249</v>
      </c>
      <c r="C138" s="87">
        <v>206835.66999999998</v>
      </c>
      <c r="D138" s="88">
        <f t="shared" si="18"/>
        <v>82734.267999999996</v>
      </c>
      <c r="E138" s="89">
        <f t="shared" si="19"/>
        <v>20683.566999999999</v>
      </c>
      <c r="F138" s="89">
        <f t="shared" si="20"/>
        <v>103417.83499999999</v>
      </c>
      <c r="G138" s="90"/>
      <c r="H138" s="83"/>
      <c r="I138" s="98"/>
      <c r="J138" s="102"/>
      <c r="K138" s="85"/>
      <c r="L138" s="86"/>
      <c r="M138" s="99" t="s">
        <v>114</v>
      </c>
    </row>
    <row r="139" spans="1:13" ht="14" x14ac:dyDescent="0.3">
      <c r="A139" s="103">
        <v>151462000014078</v>
      </c>
      <c r="B139" s="101" t="s">
        <v>250</v>
      </c>
      <c r="C139" s="87">
        <v>244636.26</v>
      </c>
      <c r="D139" s="88">
        <f t="shared" si="18"/>
        <v>97854.504000000015</v>
      </c>
      <c r="E139" s="89">
        <f t="shared" si="19"/>
        <v>24463.626000000004</v>
      </c>
      <c r="F139" s="89">
        <f t="shared" si="20"/>
        <v>122318.13</v>
      </c>
      <c r="G139" s="90"/>
      <c r="H139" s="83"/>
      <c r="I139" s="98"/>
      <c r="J139" s="102"/>
      <c r="K139" s="85"/>
      <c r="L139" s="86"/>
      <c r="M139" s="99" t="s">
        <v>114</v>
      </c>
    </row>
    <row r="140" spans="1:13" ht="14" x14ac:dyDescent="0.3">
      <c r="A140" s="100">
        <v>153242000014191</v>
      </c>
      <c r="B140" s="101" t="s">
        <v>251</v>
      </c>
      <c r="C140" s="87">
        <v>217644.77</v>
      </c>
      <c r="D140" s="88">
        <f t="shared" si="18"/>
        <v>87057.907999999996</v>
      </c>
      <c r="E140" s="89">
        <f t="shared" si="19"/>
        <v>21764.476999999999</v>
      </c>
      <c r="F140" s="89">
        <f t="shared" si="20"/>
        <v>108822.38499999999</v>
      </c>
      <c r="G140" s="90"/>
      <c r="H140" s="83"/>
      <c r="I140" s="98"/>
      <c r="J140" s="102"/>
      <c r="K140" s="85"/>
      <c r="L140" s="86"/>
      <c r="M140" s="99" t="s">
        <v>114</v>
      </c>
    </row>
    <row r="141" spans="1:13" ht="14" x14ac:dyDescent="0.3">
      <c r="A141" s="104">
        <v>151272000014027</v>
      </c>
      <c r="B141" s="101" t="s">
        <v>252</v>
      </c>
      <c r="C141" s="87">
        <v>162995.46</v>
      </c>
      <c r="D141" s="88">
        <f t="shared" si="18"/>
        <v>65198.184000000001</v>
      </c>
      <c r="E141" s="89">
        <f t="shared" si="19"/>
        <v>16299.546</v>
      </c>
      <c r="F141" s="89">
        <f t="shared" si="20"/>
        <v>81497.73</v>
      </c>
      <c r="G141" s="90"/>
      <c r="H141" s="83"/>
      <c r="I141" s="98"/>
      <c r="J141" s="102"/>
      <c r="K141" s="85"/>
      <c r="L141" s="86"/>
      <c r="M141" s="99" t="s">
        <v>114</v>
      </c>
    </row>
    <row r="142" spans="1:13" ht="14" x14ac:dyDescent="0.3">
      <c r="A142" s="100">
        <v>153772000014239</v>
      </c>
      <c r="B142" s="101" t="s">
        <v>253</v>
      </c>
      <c r="C142" s="87">
        <v>189200.55000000002</v>
      </c>
      <c r="D142" s="88">
        <f t="shared" si="18"/>
        <v>75680.220000000016</v>
      </c>
      <c r="E142" s="89">
        <f t="shared" si="19"/>
        <v>18920.055000000004</v>
      </c>
      <c r="F142" s="89">
        <f t="shared" si="20"/>
        <v>94600.275000000009</v>
      </c>
      <c r="G142" s="90"/>
      <c r="H142" s="83"/>
      <c r="I142" s="98"/>
      <c r="J142" s="102"/>
      <c r="K142" s="85"/>
      <c r="L142" s="86"/>
      <c r="M142" s="99" t="s">
        <v>114</v>
      </c>
    </row>
    <row r="143" spans="1:13" ht="14" x14ac:dyDescent="0.3">
      <c r="A143" s="100">
        <v>156902000014658</v>
      </c>
      <c r="B143" s="101" t="s">
        <v>254</v>
      </c>
      <c r="C143" s="87">
        <v>229068.48</v>
      </c>
      <c r="D143" s="88">
        <f t="shared" si="18"/>
        <v>91627.392000000007</v>
      </c>
      <c r="E143" s="89">
        <f t="shared" si="19"/>
        <v>22906.848000000002</v>
      </c>
      <c r="F143" s="89">
        <f t="shared" si="20"/>
        <v>114534.24</v>
      </c>
      <c r="G143" s="90"/>
      <c r="H143" s="83"/>
      <c r="I143" s="98"/>
      <c r="J143" s="102"/>
      <c r="K143" s="85"/>
      <c r="L143" s="86"/>
      <c r="M143" s="99" t="s">
        <v>114</v>
      </c>
    </row>
    <row r="144" spans="1:13" s="105" customFormat="1" ht="14" x14ac:dyDescent="0.3">
      <c r="A144" s="100">
        <v>135172000013127</v>
      </c>
      <c r="B144" s="101" t="s">
        <v>255</v>
      </c>
      <c r="C144" s="87">
        <v>296920.39</v>
      </c>
      <c r="D144" s="88">
        <f t="shared" si="18"/>
        <v>118768.15600000002</v>
      </c>
      <c r="E144" s="89">
        <f t="shared" si="19"/>
        <v>29692.039000000004</v>
      </c>
      <c r="F144" s="89">
        <f t="shared" si="20"/>
        <v>148460.19500000001</v>
      </c>
      <c r="G144" s="90"/>
      <c r="H144" s="83"/>
      <c r="I144" s="98"/>
      <c r="J144" s="102"/>
      <c r="K144" s="85"/>
      <c r="L144" s="86"/>
      <c r="M144" s="99" t="s">
        <v>114</v>
      </c>
    </row>
    <row r="145" spans="1:13" ht="14" x14ac:dyDescent="0.3">
      <c r="A145" s="100">
        <v>300003200007004</v>
      </c>
      <c r="B145" s="101" t="s">
        <v>256</v>
      </c>
      <c r="C145" s="87">
        <v>184115.92</v>
      </c>
      <c r="D145" s="88">
        <f t="shared" si="18"/>
        <v>73646.368000000002</v>
      </c>
      <c r="E145" s="89">
        <f t="shared" si="19"/>
        <v>18411.592000000001</v>
      </c>
      <c r="F145" s="89">
        <f t="shared" si="20"/>
        <v>92057.96</v>
      </c>
      <c r="G145" s="90"/>
      <c r="H145" s="83"/>
      <c r="I145" s="98"/>
      <c r="J145" s="102"/>
      <c r="K145" s="85"/>
      <c r="L145" s="86"/>
      <c r="M145" s="99" t="s">
        <v>114</v>
      </c>
    </row>
    <row r="146" spans="1:13" ht="14" x14ac:dyDescent="0.3">
      <c r="A146" s="100">
        <v>156422000014548</v>
      </c>
      <c r="B146" s="101" t="s">
        <v>257</v>
      </c>
      <c r="C146" s="87">
        <v>181616.75999999998</v>
      </c>
      <c r="D146" s="88">
        <f t="shared" si="18"/>
        <v>72646.703999999998</v>
      </c>
      <c r="E146" s="89">
        <f t="shared" si="19"/>
        <v>18161.675999999999</v>
      </c>
      <c r="F146" s="89">
        <f t="shared" si="20"/>
        <v>90808.37999999999</v>
      </c>
      <c r="G146" s="90"/>
      <c r="H146" s="83"/>
      <c r="I146" s="98"/>
      <c r="J146" s="102"/>
      <c r="K146" s="85"/>
      <c r="L146" s="86"/>
      <c r="M146" s="99" t="s">
        <v>114</v>
      </c>
    </row>
    <row r="147" spans="1:13" ht="14" x14ac:dyDescent="0.3">
      <c r="A147" s="100">
        <v>156862000014650</v>
      </c>
      <c r="B147" s="101" t="s">
        <v>258</v>
      </c>
      <c r="C147" s="87">
        <v>175333.62</v>
      </c>
      <c r="D147" s="88">
        <f t="shared" si="18"/>
        <v>70133.448000000004</v>
      </c>
      <c r="E147" s="89">
        <f t="shared" si="19"/>
        <v>17533.362000000001</v>
      </c>
      <c r="F147" s="89">
        <f t="shared" si="20"/>
        <v>87666.81</v>
      </c>
      <c r="G147" s="90"/>
      <c r="H147" s="83"/>
      <c r="I147" s="98"/>
      <c r="J147" s="102"/>
      <c r="K147" s="85"/>
      <c r="L147" s="86"/>
      <c r="M147" s="99" t="s">
        <v>114</v>
      </c>
    </row>
    <row r="148" spans="1:13" ht="14" x14ac:dyDescent="0.3">
      <c r="A148" s="100">
        <v>154282000014328</v>
      </c>
      <c r="B148" s="101" t="s">
        <v>259</v>
      </c>
      <c r="C148" s="87">
        <v>189640.5</v>
      </c>
      <c r="D148" s="88">
        <f>C148*0.34</f>
        <v>64477.770000000004</v>
      </c>
      <c r="E148" s="89">
        <f>C148*0.06</f>
        <v>11378.43</v>
      </c>
      <c r="F148" s="89">
        <f>C148*0.6</f>
        <v>113784.3</v>
      </c>
      <c r="G148" s="90" t="s">
        <v>138</v>
      </c>
      <c r="H148" s="83"/>
      <c r="I148" s="98"/>
      <c r="J148" s="102"/>
      <c r="K148" s="85"/>
      <c r="L148" s="86"/>
      <c r="M148" s="99" t="s">
        <v>114</v>
      </c>
    </row>
    <row r="149" spans="1:13" ht="14" x14ac:dyDescent="0.3">
      <c r="A149" s="100">
        <v>300007200007010</v>
      </c>
      <c r="B149" s="101" t="s">
        <v>260</v>
      </c>
      <c r="C149" s="87">
        <v>172944.43</v>
      </c>
      <c r="D149" s="88">
        <f t="shared" ref="D149:D155" si="21">C149*0.4</f>
        <v>69177.771999999997</v>
      </c>
      <c r="E149" s="89">
        <f t="shared" ref="E149:E155" si="22">C149*0.1</f>
        <v>17294.442999999999</v>
      </c>
      <c r="F149" s="89">
        <f t="shared" ref="F149:F155" si="23">C149*0.5</f>
        <v>86472.214999999997</v>
      </c>
      <c r="G149" s="90"/>
      <c r="H149" s="83"/>
      <c r="I149" s="98"/>
      <c r="J149" s="102"/>
      <c r="K149" s="85"/>
      <c r="L149" s="86"/>
      <c r="M149" s="99" t="s">
        <v>114</v>
      </c>
    </row>
    <row r="150" spans="1:13" ht="14" x14ac:dyDescent="0.3">
      <c r="A150" s="100">
        <v>156642000014589</v>
      </c>
      <c r="B150" s="101" t="s">
        <v>261</v>
      </c>
      <c r="C150" s="87">
        <v>182211.06</v>
      </c>
      <c r="D150" s="88">
        <f t="shared" si="21"/>
        <v>72884.423999999999</v>
      </c>
      <c r="E150" s="89">
        <f t="shared" si="22"/>
        <v>18221.106</v>
      </c>
      <c r="F150" s="89">
        <f t="shared" si="23"/>
        <v>91105.53</v>
      </c>
      <c r="G150" s="90"/>
      <c r="H150" s="83"/>
      <c r="I150" s="98"/>
      <c r="J150" s="102"/>
      <c r="K150" s="85"/>
      <c r="L150" s="86"/>
      <c r="M150" s="99" t="s">
        <v>114</v>
      </c>
    </row>
    <row r="151" spans="1:13" ht="14" x14ac:dyDescent="0.3">
      <c r="A151" s="100">
        <v>156812000014722</v>
      </c>
      <c r="B151" s="101" t="s">
        <v>262</v>
      </c>
      <c r="C151" s="87">
        <v>152916.72</v>
      </c>
      <c r="D151" s="88">
        <f t="shared" si="21"/>
        <v>61166.688000000002</v>
      </c>
      <c r="E151" s="89">
        <f t="shared" si="22"/>
        <v>15291.672</v>
      </c>
      <c r="F151" s="89">
        <f t="shared" si="23"/>
        <v>76458.36</v>
      </c>
      <c r="G151" s="90"/>
      <c r="H151" s="83"/>
      <c r="I151" s="98"/>
      <c r="J151" s="102"/>
      <c r="K151" s="85"/>
      <c r="L151" s="86"/>
      <c r="M151" s="99" t="s">
        <v>114</v>
      </c>
    </row>
    <row r="152" spans="1:13" ht="14" x14ac:dyDescent="0.3">
      <c r="A152" s="100">
        <v>300000200007001</v>
      </c>
      <c r="B152" s="101" t="s">
        <v>263</v>
      </c>
      <c r="C152" s="87">
        <v>130777.36</v>
      </c>
      <c r="D152" s="88">
        <f t="shared" si="21"/>
        <v>52310.944000000003</v>
      </c>
      <c r="E152" s="89">
        <f t="shared" si="22"/>
        <v>13077.736000000001</v>
      </c>
      <c r="F152" s="89">
        <f t="shared" si="23"/>
        <v>65388.68</v>
      </c>
      <c r="G152" s="90"/>
      <c r="H152" s="83"/>
      <c r="I152" s="98"/>
      <c r="J152" s="102"/>
      <c r="K152" s="85"/>
      <c r="L152" s="86"/>
      <c r="M152" s="99" t="s">
        <v>114</v>
      </c>
    </row>
    <row r="153" spans="1:13" ht="14" x14ac:dyDescent="0.3">
      <c r="A153" s="100" t="s">
        <v>342</v>
      </c>
      <c r="B153" s="101" t="s">
        <v>264</v>
      </c>
      <c r="C153" s="87">
        <v>145320.35999999999</v>
      </c>
      <c r="D153" s="88">
        <f t="shared" si="21"/>
        <v>58128.144</v>
      </c>
      <c r="E153" s="89">
        <f t="shared" si="22"/>
        <v>14532.036</v>
      </c>
      <c r="F153" s="89">
        <f t="shared" si="23"/>
        <v>72660.179999999993</v>
      </c>
      <c r="G153" s="90"/>
      <c r="H153" s="83"/>
      <c r="I153" s="98"/>
      <c r="J153" s="102"/>
      <c r="K153" s="85"/>
      <c r="L153" s="86"/>
      <c r="M153" s="99" t="s">
        <v>114</v>
      </c>
    </row>
    <row r="154" spans="1:13" ht="14" x14ac:dyDescent="0.3">
      <c r="A154" s="100">
        <v>156962000014710</v>
      </c>
      <c r="B154" s="101" t="s">
        <v>265</v>
      </c>
      <c r="C154" s="87">
        <v>150012.97</v>
      </c>
      <c r="D154" s="88">
        <f t="shared" si="21"/>
        <v>60005.188000000002</v>
      </c>
      <c r="E154" s="89">
        <f t="shared" si="22"/>
        <v>15001.297</v>
      </c>
      <c r="F154" s="89">
        <f t="shared" si="23"/>
        <v>75006.485000000001</v>
      </c>
      <c r="G154" s="90"/>
      <c r="H154" s="83"/>
      <c r="I154" s="98"/>
      <c r="J154" s="102"/>
      <c r="K154" s="85"/>
      <c r="L154" s="86"/>
      <c r="M154" s="99" t="s">
        <v>114</v>
      </c>
    </row>
    <row r="155" spans="1:13" ht="14" x14ac:dyDescent="0.3">
      <c r="A155" s="100">
        <v>153932000014271</v>
      </c>
      <c r="B155" s="101" t="s">
        <v>266</v>
      </c>
      <c r="C155" s="87">
        <v>150599.26999999999</v>
      </c>
      <c r="D155" s="88">
        <f t="shared" si="21"/>
        <v>60239.707999999999</v>
      </c>
      <c r="E155" s="89">
        <f t="shared" si="22"/>
        <v>15059.927</v>
      </c>
      <c r="F155" s="89">
        <f t="shared" si="23"/>
        <v>75299.634999999995</v>
      </c>
      <c r="G155" s="90"/>
      <c r="H155" s="83"/>
      <c r="I155" s="98"/>
      <c r="J155" s="102"/>
      <c r="K155" s="85"/>
      <c r="L155" s="86"/>
      <c r="M155" s="99" t="s">
        <v>114</v>
      </c>
    </row>
    <row r="156" spans="1:13" ht="14" x14ac:dyDescent="0.3">
      <c r="A156" s="100">
        <v>154222000014490</v>
      </c>
      <c r="B156" s="101" t="s">
        <v>136</v>
      </c>
      <c r="C156" s="87">
        <v>143979.96</v>
      </c>
      <c r="D156" s="88">
        <f>C156*0.24</f>
        <v>34555.190399999999</v>
      </c>
      <c r="E156" s="89">
        <f>C156*0.06</f>
        <v>8638.7975999999999</v>
      </c>
      <c r="F156" s="89">
        <f>C156*0.7</f>
        <v>100785.97199999999</v>
      </c>
      <c r="G156" s="90" t="s">
        <v>135</v>
      </c>
      <c r="H156" s="83"/>
      <c r="I156" s="98"/>
      <c r="J156" s="84"/>
      <c r="K156" s="85"/>
      <c r="L156" s="86"/>
      <c r="M156" s="99" t="s">
        <v>114</v>
      </c>
    </row>
    <row r="157" spans="1:13" ht="14" x14ac:dyDescent="0.3">
      <c r="A157" s="100">
        <v>150922000014038</v>
      </c>
      <c r="B157" s="101" t="s">
        <v>267</v>
      </c>
      <c r="C157" s="87">
        <v>136202.06999999998</v>
      </c>
      <c r="D157" s="88">
        <f t="shared" ref="D157:D164" si="24">C157*0.4</f>
        <v>54480.827999999994</v>
      </c>
      <c r="E157" s="89">
        <f t="shared" ref="E157:E164" si="25">C157*0.1</f>
        <v>13620.206999999999</v>
      </c>
      <c r="F157" s="89">
        <f t="shared" ref="F157:F164" si="26">C157*0.5</f>
        <v>68101.034999999989</v>
      </c>
      <c r="G157" s="90"/>
      <c r="H157" s="83"/>
      <c r="I157" s="98"/>
      <c r="J157" s="102"/>
      <c r="K157" s="85"/>
      <c r="L157" s="86"/>
      <c r="M157" s="99" t="s">
        <v>114</v>
      </c>
    </row>
    <row r="158" spans="1:13" ht="14" x14ac:dyDescent="0.3">
      <c r="A158" s="100">
        <v>156212000014533</v>
      </c>
      <c r="B158" s="101" t="s">
        <v>268</v>
      </c>
      <c r="C158" s="87">
        <v>194083.29</v>
      </c>
      <c r="D158" s="88">
        <f t="shared" si="24"/>
        <v>77633.316000000006</v>
      </c>
      <c r="E158" s="89">
        <f t="shared" si="25"/>
        <v>19408.329000000002</v>
      </c>
      <c r="F158" s="89">
        <f t="shared" si="26"/>
        <v>97041.645000000004</v>
      </c>
      <c r="G158" s="90"/>
      <c r="H158" s="83"/>
      <c r="I158" s="98"/>
      <c r="J158" s="102"/>
      <c r="K158" s="85"/>
      <c r="L158" s="86"/>
      <c r="M158" s="99" t="s">
        <v>114</v>
      </c>
    </row>
    <row r="159" spans="1:13" ht="14" x14ac:dyDescent="0.3">
      <c r="A159" s="100">
        <v>150602000013972</v>
      </c>
      <c r="B159" s="101" t="s">
        <v>269</v>
      </c>
      <c r="C159" s="87">
        <v>153418.67000000001</v>
      </c>
      <c r="D159" s="88">
        <f t="shared" si="24"/>
        <v>61367.468000000008</v>
      </c>
      <c r="E159" s="89">
        <f t="shared" si="25"/>
        <v>15341.867000000002</v>
      </c>
      <c r="F159" s="89">
        <f t="shared" si="26"/>
        <v>76709.335000000006</v>
      </c>
      <c r="G159" s="90"/>
      <c r="H159" s="83"/>
      <c r="I159" s="98"/>
      <c r="J159" s="102"/>
      <c r="K159" s="85"/>
      <c r="L159" s="86"/>
      <c r="M159" s="99" t="s">
        <v>114</v>
      </c>
    </row>
    <row r="160" spans="1:13" ht="14" x14ac:dyDescent="0.3">
      <c r="A160" s="100">
        <v>300064200007064</v>
      </c>
      <c r="B160" s="101" t="s">
        <v>196</v>
      </c>
      <c r="C160" s="87">
        <v>116017.98</v>
      </c>
      <c r="D160" s="88">
        <f t="shared" si="24"/>
        <v>46407.192000000003</v>
      </c>
      <c r="E160" s="89">
        <f t="shared" si="25"/>
        <v>11601.798000000001</v>
      </c>
      <c r="F160" s="89">
        <f t="shared" si="26"/>
        <v>58008.99</v>
      </c>
      <c r="G160" s="90"/>
      <c r="H160" s="83"/>
      <c r="I160" s="98"/>
      <c r="J160" s="102"/>
      <c r="K160" s="85"/>
      <c r="L160" s="86"/>
      <c r="M160" s="99" t="s">
        <v>114</v>
      </c>
    </row>
    <row r="161" spans="1:13" ht="14" x14ac:dyDescent="0.3">
      <c r="A161" s="100">
        <v>150982000013999</v>
      </c>
      <c r="B161" s="101" t="s">
        <v>270</v>
      </c>
      <c r="C161" s="87">
        <v>109538.74</v>
      </c>
      <c r="D161" s="88">
        <f t="shared" si="24"/>
        <v>43815.496000000006</v>
      </c>
      <c r="E161" s="89">
        <f t="shared" si="25"/>
        <v>10953.874000000002</v>
      </c>
      <c r="F161" s="89">
        <f t="shared" si="26"/>
        <v>54769.37</v>
      </c>
      <c r="G161" s="90"/>
      <c r="H161" s="83"/>
      <c r="I161" s="98"/>
      <c r="J161" s="102"/>
      <c r="K161" s="85"/>
      <c r="L161" s="86"/>
      <c r="M161" s="99" t="s">
        <v>114</v>
      </c>
    </row>
    <row r="162" spans="1:13" ht="14" x14ac:dyDescent="0.3">
      <c r="A162" s="100">
        <v>111052000006648</v>
      </c>
      <c r="B162" s="101" t="s">
        <v>271</v>
      </c>
      <c r="C162" s="87">
        <v>372466.14</v>
      </c>
      <c r="D162" s="88">
        <f t="shared" si="24"/>
        <v>148986.45600000001</v>
      </c>
      <c r="E162" s="89">
        <f t="shared" si="25"/>
        <v>37246.614000000001</v>
      </c>
      <c r="F162" s="89">
        <f t="shared" si="26"/>
        <v>186233.07</v>
      </c>
      <c r="G162" s="90"/>
      <c r="H162" s="83"/>
      <c r="I162" s="98"/>
      <c r="J162" s="102"/>
      <c r="K162" s="85"/>
      <c r="L162" s="86"/>
      <c r="M162" s="99" t="s">
        <v>114</v>
      </c>
    </row>
    <row r="163" spans="1:13" ht="14" x14ac:dyDescent="0.3">
      <c r="A163" s="100">
        <v>151852000014083</v>
      </c>
      <c r="B163" s="101" t="s">
        <v>272</v>
      </c>
      <c r="C163" s="87">
        <v>51133.560000000005</v>
      </c>
      <c r="D163" s="88">
        <f t="shared" si="24"/>
        <v>20453.424000000003</v>
      </c>
      <c r="E163" s="89">
        <f t="shared" si="25"/>
        <v>5113.3560000000007</v>
      </c>
      <c r="F163" s="89">
        <f t="shared" si="26"/>
        <v>25566.780000000002</v>
      </c>
      <c r="G163" s="90"/>
      <c r="H163" s="83"/>
      <c r="I163" s="98"/>
      <c r="J163" s="102"/>
      <c r="K163" s="85"/>
      <c r="L163" s="86"/>
      <c r="M163" s="99" t="s">
        <v>114</v>
      </c>
    </row>
    <row r="164" spans="1:13" ht="14" x14ac:dyDescent="0.3">
      <c r="A164" s="100">
        <v>150892000014076</v>
      </c>
      <c r="B164" s="101" t="s">
        <v>273</v>
      </c>
      <c r="C164" s="87">
        <v>125336.94</v>
      </c>
      <c r="D164" s="88">
        <f t="shared" si="24"/>
        <v>50134.776000000005</v>
      </c>
      <c r="E164" s="89">
        <f t="shared" si="25"/>
        <v>12533.694000000001</v>
      </c>
      <c r="F164" s="89">
        <f t="shared" si="26"/>
        <v>62668.47</v>
      </c>
      <c r="G164" s="90"/>
      <c r="H164" s="83"/>
      <c r="I164" s="98"/>
      <c r="J164" s="102"/>
      <c r="K164" s="85"/>
      <c r="L164" s="86"/>
      <c r="M164" s="99" t="s">
        <v>114</v>
      </c>
    </row>
    <row r="165" spans="1:13" ht="54.5" customHeight="1" x14ac:dyDescent="0.3">
      <c r="A165" s="100">
        <v>157292000014747</v>
      </c>
      <c r="B165" s="101" t="s">
        <v>274</v>
      </c>
      <c r="C165" s="87">
        <v>467353.23</v>
      </c>
      <c r="D165" s="88">
        <f>(C165*0.6)+((C165-(C165*0.6))*0.34)</f>
        <v>343971.97727999999</v>
      </c>
      <c r="E165" s="89">
        <f>((C165-(C165*0.6))*0.06)</f>
        <v>11216.47752</v>
      </c>
      <c r="F165" s="89">
        <v>112164.77519999997</v>
      </c>
      <c r="G165" s="106" t="s">
        <v>275</v>
      </c>
      <c r="H165" s="83"/>
      <c r="I165" s="98"/>
      <c r="J165" s="102"/>
      <c r="K165" s="85"/>
      <c r="L165" s="86"/>
      <c r="M165" s="99" t="s">
        <v>114</v>
      </c>
    </row>
    <row r="166" spans="1:13" ht="14" x14ac:dyDescent="0.3">
      <c r="A166" s="100">
        <v>151082000014037</v>
      </c>
      <c r="B166" s="101" t="s">
        <v>276</v>
      </c>
      <c r="C166" s="87">
        <v>11425.710000000001</v>
      </c>
      <c r="D166" s="88">
        <f t="shared" ref="D166:D169" si="27">C166*0.4</f>
        <v>4570.2840000000006</v>
      </c>
      <c r="E166" s="89">
        <f t="shared" ref="E166:E169" si="28">C166*0.1</f>
        <v>1142.5710000000001</v>
      </c>
      <c r="F166" s="89">
        <f t="shared" ref="F166:F169" si="29">C166*0.5</f>
        <v>5712.8550000000005</v>
      </c>
      <c r="G166" s="90"/>
      <c r="H166" s="83"/>
      <c r="I166" s="98"/>
      <c r="J166" s="102"/>
      <c r="K166" s="85"/>
      <c r="L166" s="86"/>
      <c r="M166" s="99" t="s">
        <v>114</v>
      </c>
    </row>
    <row r="167" spans="1:13" ht="14" x14ac:dyDescent="0.3">
      <c r="A167" s="100">
        <v>150572000014033</v>
      </c>
      <c r="B167" s="101" t="s">
        <v>277</v>
      </c>
      <c r="C167" s="87">
        <v>165692.79999999999</v>
      </c>
      <c r="D167" s="88">
        <f t="shared" si="27"/>
        <v>66277.119999999995</v>
      </c>
      <c r="E167" s="89">
        <f t="shared" si="28"/>
        <v>16569.28</v>
      </c>
      <c r="F167" s="89">
        <f t="shared" si="29"/>
        <v>82846.399999999994</v>
      </c>
      <c r="G167" s="90"/>
      <c r="H167" s="83"/>
      <c r="I167" s="98"/>
      <c r="J167" s="102"/>
      <c r="K167" s="85"/>
      <c r="L167" s="86"/>
      <c r="M167" s="99" t="s">
        <v>114</v>
      </c>
    </row>
    <row r="168" spans="1:13" ht="14" x14ac:dyDescent="0.3">
      <c r="A168" s="100">
        <v>133652000010965</v>
      </c>
      <c r="B168" s="101" t="s">
        <v>278</v>
      </c>
      <c r="C168" s="87">
        <v>111039.49</v>
      </c>
      <c r="D168" s="88">
        <f t="shared" si="27"/>
        <v>44415.796000000002</v>
      </c>
      <c r="E168" s="89">
        <f t="shared" si="28"/>
        <v>11103.949000000001</v>
      </c>
      <c r="F168" s="89">
        <f t="shared" si="29"/>
        <v>55519.745000000003</v>
      </c>
      <c r="G168" s="90"/>
      <c r="H168" s="83"/>
      <c r="I168" s="98"/>
      <c r="J168" s="102"/>
      <c r="K168" s="85"/>
      <c r="L168" s="86"/>
      <c r="M168" s="99" t="s">
        <v>114</v>
      </c>
    </row>
    <row r="169" spans="1:13" ht="14" x14ac:dyDescent="0.3">
      <c r="A169" s="100">
        <v>107192000005395</v>
      </c>
      <c r="B169" s="101" t="s">
        <v>279</v>
      </c>
      <c r="C169" s="87">
        <v>284418.14</v>
      </c>
      <c r="D169" s="88">
        <f t="shared" si="27"/>
        <v>113767.25600000001</v>
      </c>
      <c r="E169" s="89">
        <f t="shared" si="28"/>
        <v>28441.814000000002</v>
      </c>
      <c r="F169" s="89">
        <f t="shared" si="29"/>
        <v>142209.07</v>
      </c>
      <c r="G169" s="90"/>
      <c r="H169" s="83"/>
      <c r="I169" s="98"/>
      <c r="J169" s="102"/>
      <c r="K169" s="85"/>
      <c r="L169" s="86"/>
      <c r="M169" s="99" t="s">
        <v>114</v>
      </c>
    </row>
    <row r="170" spans="1:13" ht="14" x14ac:dyDescent="0.3">
      <c r="A170" s="100">
        <v>154222000014493</v>
      </c>
      <c r="B170" s="101" t="s">
        <v>136</v>
      </c>
      <c r="C170" s="87">
        <v>101163.01999999999</v>
      </c>
      <c r="D170" s="88">
        <f>C170*0.24</f>
        <v>24279.124799999998</v>
      </c>
      <c r="E170" s="89">
        <f>C170*0.06</f>
        <v>6069.7811999999994</v>
      </c>
      <c r="F170" s="89">
        <f>C170*0.7</f>
        <v>70814.113999999987</v>
      </c>
      <c r="G170" s="90" t="s">
        <v>135</v>
      </c>
      <c r="H170" s="83"/>
      <c r="I170" s="98"/>
      <c r="J170" s="84"/>
      <c r="K170" s="85"/>
      <c r="L170" s="86"/>
      <c r="M170" s="99" t="s">
        <v>114</v>
      </c>
    </row>
    <row r="171" spans="1:13" ht="14" x14ac:dyDescent="0.3">
      <c r="A171" s="100">
        <v>152502000014135</v>
      </c>
      <c r="B171" s="101" t="s">
        <v>280</v>
      </c>
      <c r="C171" s="87">
        <v>103063.51000000001</v>
      </c>
      <c r="D171" s="88">
        <f t="shared" ref="D171:D173" si="30">C171*0.4</f>
        <v>41225.40400000001</v>
      </c>
      <c r="E171" s="89">
        <f t="shared" ref="E171:E173" si="31">C171*0.1</f>
        <v>10306.351000000002</v>
      </c>
      <c r="F171" s="89">
        <f t="shared" ref="F171:F173" si="32">C171*0.5</f>
        <v>51531.755000000005</v>
      </c>
      <c r="G171" s="90"/>
      <c r="H171" s="83"/>
      <c r="I171" s="98"/>
      <c r="J171" s="102"/>
      <c r="K171" s="85"/>
      <c r="L171" s="86"/>
      <c r="M171" s="99" t="s">
        <v>114</v>
      </c>
    </row>
    <row r="172" spans="1:13" ht="14" x14ac:dyDescent="0.3">
      <c r="A172" s="100">
        <v>300029200007029</v>
      </c>
      <c r="B172" s="101" t="s">
        <v>281</v>
      </c>
      <c r="C172" s="87">
        <v>105148.55</v>
      </c>
      <c r="D172" s="88">
        <f t="shared" si="30"/>
        <v>42059.420000000006</v>
      </c>
      <c r="E172" s="89">
        <f t="shared" si="31"/>
        <v>10514.855000000001</v>
      </c>
      <c r="F172" s="89">
        <f t="shared" si="32"/>
        <v>52574.275000000001</v>
      </c>
      <c r="G172" s="90"/>
      <c r="H172" s="83"/>
      <c r="I172" s="98"/>
      <c r="J172" s="102"/>
      <c r="K172" s="85"/>
      <c r="L172" s="86"/>
      <c r="M172" s="99" t="s">
        <v>114</v>
      </c>
    </row>
    <row r="173" spans="1:13" ht="14" x14ac:dyDescent="0.3">
      <c r="A173" s="100">
        <v>151642000014041</v>
      </c>
      <c r="B173" s="101" t="s">
        <v>282</v>
      </c>
      <c r="C173" s="87">
        <v>86503.53</v>
      </c>
      <c r="D173" s="88">
        <f t="shared" si="30"/>
        <v>34601.412000000004</v>
      </c>
      <c r="E173" s="89">
        <f t="shared" si="31"/>
        <v>8650.353000000001</v>
      </c>
      <c r="F173" s="89">
        <f t="shared" si="32"/>
        <v>43251.764999999999</v>
      </c>
      <c r="G173" s="90"/>
      <c r="H173" s="83"/>
      <c r="I173" s="98"/>
      <c r="J173" s="102"/>
      <c r="K173" s="85"/>
      <c r="L173" s="86"/>
      <c r="M173" s="99" t="s">
        <v>114</v>
      </c>
    </row>
    <row r="174" spans="1:13" ht="14" x14ac:dyDescent="0.3">
      <c r="A174" s="100">
        <v>154222000014492</v>
      </c>
      <c r="B174" s="101" t="s">
        <v>136</v>
      </c>
      <c r="C174" s="87">
        <v>68570.259999999995</v>
      </c>
      <c r="D174" s="88">
        <f>C174*0.24</f>
        <v>16456.862399999998</v>
      </c>
      <c r="E174" s="89">
        <f>C174*0.06</f>
        <v>4114.2155999999995</v>
      </c>
      <c r="F174" s="89">
        <f>C174*0.7</f>
        <v>47999.181999999993</v>
      </c>
      <c r="G174" s="90" t="s">
        <v>135</v>
      </c>
      <c r="H174" s="83"/>
      <c r="I174" s="98"/>
      <c r="J174" s="84"/>
      <c r="K174" s="85"/>
      <c r="L174" s="86"/>
      <c r="M174" s="99" t="s">
        <v>114</v>
      </c>
    </row>
    <row r="175" spans="1:13" ht="14" x14ac:dyDescent="0.3">
      <c r="A175" s="100">
        <v>155272000014403</v>
      </c>
      <c r="B175" s="101" t="s">
        <v>363</v>
      </c>
      <c r="C175" s="87">
        <v>87897.93</v>
      </c>
      <c r="D175" s="88">
        <f t="shared" ref="D175:D185" si="33">C175*0.4</f>
        <v>35159.171999999999</v>
      </c>
      <c r="E175" s="89">
        <f t="shared" ref="E175:E185" si="34">C175*0.1</f>
        <v>8789.7929999999997</v>
      </c>
      <c r="F175" s="89">
        <f t="shared" ref="F175:F185" si="35">C175*0.5</f>
        <v>43948.964999999997</v>
      </c>
      <c r="G175" s="90"/>
      <c r="H175" s="83"/>
      <c r="I175" s="98"/>
      <c r="J175" s="102"/>
      <c r="K175" s="85"/>
      <c r="L175" s="86"/>
      <c r="M175" s="99" t="s">
        <v>114</v>
      </c>
    </row>
    <row r="176" spans="1:13" ht="14" x14ac:dyDescent="0.3">
      <c r="A176" s="100">
        <v>151092000014023</v>
      </c>
      <c r="B176" s="101" t="s">
        <v>283</v>
      </c>
      <c r="C176" s="87">
        <v>48692.33</v>
      </c>
      <c r="D176" s="88">
        <f t="shared" si="33"/>
        <v>19476.932000000001</v>
      </c>
      <c r="E176" s="89">
        <f t="shared" si="34"/>
        <v>4869.2330000000002</v>
      </c>
      <c r="F176" s="89">
        <f t="shared" si="35"/>
        <v>24346.165000000001</v>
      </c>
      <c r="G176" s="90"/>
      <c r="H176" s="83"/>
      <c r="I176" s="98"/>
      <c r="J176" s="102"/>
      <c r="K176" s="85"/>
      <c r="L176" s="86"/>
      <c r="M176" s="99" t="s">
        <v>114</v>
      </c>
    </row>
    <row r="177" spans="1:13" ht="14" x14ac:dyDescent="0.3">
      <c r="A177" s="100">
        <v>150832000013988</v>
      </c>
      <c r="B177" s="101" t="s">
        <v>284</v>
      </c>
      <c r="C177" s="87">
        <v>33840.909999999996</v>
      </c>
      <c r="D177" s="88">
        <f t="shared" si="33"/>
        <v>13536.364</v>
      </c>
      <c r="E177" s="89">
        <f t="shared" si="34"/>
        <v>3384.0909999999999</v>
      </c>
      <c r="F177" s="89">
        <f t="shared" si="35"/>
        <v>16920.454999999998</v>
      </c>
      <c r="G177" s="90"/>
      <c r="H177" s="83"/>
      <c r="I177" s="98"/>
      <c r="J177" s="102"/>
      <c r="K177" s="85"/>
      <c r="L177" s="86"/>
      <c r="M177" s="99" t="s">
        <v>114</v>
      </c>
    </row>
    <row r="178" spans="1:13" ht="14" x14ac:dyDescent="0.3">
      <c r="A178" s="100">
        <v>15164200007015</v>
      </c>
      <c r="B178" s="101" t="s">
        <v>282</v>
      </c>
      <c r="C178" s="87">
        <v>92752.35</v>
      </c>
      <c r="D178" s="88">
        <f t="shared" si="33"/>
        <v>37100.94</v>
      </c>
      <c r="E178" s="89">
        <f t="shared" si="34"/>
        <v>9275.2350000000006</v>
      </c>
      <c r="F178" s="89">
        <f t="shared" si="35"/>
        <v>46376.175000000003</v>
      </c>
      <c r="G178" s="90"/>
      <c r="H178" s="83"/>
      <c r="I178" s="98"/>
      <c r="J178" s="102"/>
      <c r="K178" s="85"/>
      <c r="L178" s="86"/>
      <c r="M178" s="99" t="s">
        <v>114</v>
      </c>
    </row>
    <row r="179" spans="1:13" ht="14" x14ac:dyDescent="0.3">
      <c r="A179" s="100">
        <v>155942000014512</v>
      </c>
      <c r="B179" s="101" t="s">
        <v>285</v>
      </c>
      <c r="C179" s="87">
        <v>57066.52</v>
      </c>
      <c r="D179" s="88">
        <f t="shared" si="33"/>
        <v>22826.608</v>
      </c>
      <c r="E179" s="89">
        <f t="shared" si="34"/>
        <v>5706.652</v>
      </c>
      <c r="F179" s="89">
        <f t="shared" si="35"/>
        <v>28533.26</v>
      </c>
      <c r="G179" s="90"/>
      <c r="H179" s="83"/>
      <c r="I179" s="98"/>
      <c r="J179" s="102"/>
      <c r="K179" s="85"/>
      <c r="L179" s="86"/>
      <c r="M179" s="99" t="s">
        <v>114</v>
      </c>
    </row>
    <row r="180" spans="1:13" ht="14" x14ac:dyDescent="0.3">
      <c r="A180" s="100">
        <v>156882000014654</v>
      </c>
      <c r="B180" s="101" t="s">
        <v>286</v>
      </c>
      <c r="C180" s="87">
        <v>52038.01</v>
      </c>
      <c r="D180" s="88">
        <f t="shared" si="33"/>
        <v>20815.204000000002</v>
      </c>
      <c r="E180" s="89">
        <f t="shared" si="34"/>
        <v>5203.8010000000004</v>
      </c>
      <c r="F180" s="89">
        <f t="shared" si="35"/>
        <v>26019.005000000001</v>
      </c>
      <c r="G180" s="90"/>
      <c r="H180" s="83"/>
      <c r="I180" s="98"/>
      <c r="J180" s="102"/>
      <c r="K180" s="85"/>
      <c r="L180" s="86"/>
      <c r="M180" s="99" t="s">
        <v>114</v>
      </c>
    </row>
    <row r="181" spans="1:13" ht="14" x14ac:dyDescent="0.3">
      <c r="A181" s="100">
        <v>150942000014000</v>
      </c>
      <c r="B181" s="101" t="s">
        <v>287</v>
      </c>
      <c r="C181" s="87">
        <v>119261.6</v>
      </c>
      <c r="D181" s="88">
        <f t="shared" si="33"/>
        <v>47704.640000000007</v>
      </c>
      <c r="E181" s="89">
        <f t="shared" si="34"/>
        <v>11926.160000000002</v>
      </c>
      <c r="F181" s="89">
        <f t="shared" si="35"/>
        <v>59630.8</v>
      </c>
      <c r="G181" s="90"/>
      <c r="H181" s="83"/>
      <c r="I181" s="98"/>
      <c r="J181" s="102"/>
      <c r="K181" s="85"/>
      <c r="L181" s="86"/>
      <c r="M181" s="99" t="s">
        <v>114</v>
      </c>
    </row>
    <row r="182" spans="1:13" ht="14" x14ac:dyDescent="0.3">
      <c r="A182" s="100">
        <v>300042200007042</v>
      </c>
      <c r="B182" s="101" t="s">
        <v>288</v>
      </c>
      <c r="C182" s="87">
        <v>65428.7</v>
      </c>
      <c r="D182" s="88">
        <f t="shared" si="33"/>
        <v>26171.48</v>
      </c>
      <c r="E182" s="89">
        <f t="shared" si="34"/>
        <v>6542.87</v>
      </c>
      <c r="F182" s="89">
        <f t="shared" si="35"/>
        <v>32714.35</v>
      </c>
      <c r="G182" s="90"/>
      <c r="H182" s="83"/>
      <c r="I182" s="98"/>
      <c r="J182" s="102"/>
      <c r="K182" s="85"/>
      <c r="L182" s="86"/>
      <c r="M182" s="99" t="s">
        <v>114</v>
      </c>
    </row>
    <row r="183" spans="1:13" ht="14" x14ac:dyDescent="0.3">
      <c r="A183" s="100">
        <v>155732000014484</v>
      </c>
      <c r="B183" s="101" t="s">
        <v>289</v>
      </c>
      <c r="C183" s="87">
        <v>29742.86</v>
      </c>
      <c r="D183" s="88">
        <f t="shared" si="33"/>
        <v>11897.144</v>
      </c>
      <c r="E183" s="89">
        <f t="shared" si="34"/>
        <v>2974.2860000000001</v>
      </c>
      <c r="F183" s="89">
        <f t="shared" si="35"/>
        <v>14871.43</v>
      </c>
      <c r="G183" s="90"/>
      <c r="H183" s="83"/>
      <c r="I183" s="98"/>
      <c r="J183" s="102"/>
      <c r="K183" s="85"/>
      <c r="L183" s="86"/>
      <c r="M183" s="99" t="s">
        <v>114</v>
      </c>
    </row>
    <row r="184" spans="1:13" ht="14" x14ac:dyDescent="0.3">
      <c r="A184" s="100">
        <v>151222000014029</v>
      </c>
      <c r="B184" s="101" t="s">
        <v>290</v>
      </c>
      <c r="C184" s="87">
        <v>54269.120000000003</v>
      </c>
      <c r="D184" s="88">
        <f t="shared" si="33"/>
        <v>21707.648000000001</v>
      </c>
      <c r="E184" s="89">
        <f t="shared" si="34"/>
        <v>5426.9120000000003</v>
      </c>
      <c r="F184" s="89">
        <f t="shared" si="35"/>
        <v>27134.560000000001</v>
      </c>
      <c r="G184" s="90"/>
      <c r="H184" s="83"/>
      <c r="I184" s="98"/>
      <c r="J184" s="102"/>
      <c r="K184" s="85"/>
      <c r="L184" s="86"/>
      <c r="M184" s="99" t="s">
        <v>114</v>
      </c>
    </row>
    <row r="185" spans="1:13" ht="14" x14ac:dyDescent="0.3">
      <c r="A185" s="100">
        <v>300052200007052</v>
      </c>
      <c r="B185" s="101" t="s">
        <v>291</v>
      </c>
      <c r="C185" s="87">
        <v>65800.88</v>
      </c>
      <c r="D185" s="88">
        <f t="shared" si="33"/>
        <v>26320.352000000003</v>
      </c>
      <c r="E185" s="89">
        <f t="shared" si="34"/>
        <v>6580.0880000000006</v>
      </c>
      <c r="F185" s="89">
        <f t="shared" si="35"/>
        <v>32900.44</v>
      </c>
      <c r="G185" s="90"/>
      <c r="H185" s="83"/>
      <c r="I185" s="98"/>
      <c r="J185" s="102"/>
      <c r="K185" s="85"/>
      <c r="L185" s="86"/>
      <c r="M185" s="99" t="s">
        <v>114</v>
      </c>
    </row>
    <row r="186" spans="1:13" ht="14" x14ac:dyDescent="0.3">
      <c r="A186" s="100">
        <v>129432000009885</v>
      </c>
      <c r="B186" s="101" t="s">
        <v>292</v>
      </c>
      <c r="C186" s="87">
        <v>8506.2999999999993</v>
      </c>
      <c r="D186" s="88">
        <f>C186*0.14</f>
        <v>1190.8820000000001</v>
      </c>
      <c r="E186" s="89">
        <f>C186*0.06</f>
        <v>510.37799999999993</v>
      </c>
      <c r="F186" s="89">
        <f>C186*0.8</f>
        <v>6805.04</v>
      </c>
      <c r="G186" s="90" t="s">
        <v>293</v>
      </c>
      <c r="H186" s="83"/>
      <c r="I186" s="98"/>
      <c r="J186" s="102"/>
      <c r="K186" s="85"/>
      <c r="L186" s="86"/>
      <c r="M186" s="99" t="s">
        <v>114</v>
      </c>
    </row>
    <row r="187" spans="1:13" ht="14" x14ac:dyDescent="0.3">
      <c r="A187" s="100">
        <v>300077200007077</v>
      </c>
      <c r="B187" s="101" t="s">
        <v>294</v>
      </c>
      <c r="C187" s="87">
        <v>243419.31</v>
      </c>
      <c r="D187" s="88">
        <f>C187*0.24</f>
        <v>58420.634399999995</v>
      </c>
      <c r="E187" s="89">
        <f>C187*0.06</f>
        <v>14605.158599999999</v>
      </c>
      <c r="F187" s="89">
        <f>C187*0.7</f>
        <v>170393.51699999999</v>
      </c>
      <c r="G187" s="90" t="s">
        <v>135</v>
      </c>
      <c r="H187" s="83"/>
      <c r="I187" s="98"/>
      <c r="J187" s="84"/>
      <c r="K187" s="85"/>
      <c r="L187" s="86"/>
      <c r="M187" s="99" t="s">
        <v>114</v>
      </c>
    </row>
    <row r="188" spans="1:13" ht="14" x14ac:dyDescent="0.3">
      <c r="A188" s="100">
        <v>155532000014451</v>
      </c>
      <c r="B188" s="101" t="s">
        <v>266</v>
      </c>
      <c r="C188" s="87">
        <v>37134.559999999998</v>
      </c>
      <c r="D188" s="88">
        <f>C188*0.4</f>
        <v>14853.824000000001</v>
      </c>
      <c r="E188" s="89">
        <f>C188*0.1</f>
        <v>3713.4560000000001</v>
      </c>
      <c r="F188" s="89">
        <f>C188*0.5</f>
        <v>18567.28</v>
      </c>
      <c r="G188" s="90"/>
      <c r="H188" s="83"/>
      <c r="I188" s="98"/>
      <c r="J188" s="102"/>
      <c r="K188" s="85"/>
      <c r="L188" s="86"/>
      <c r="M188" s="99" t="s">
        <v>114</v>
      </c>
    </row>
    <row r="189" spans="1:13" ht="14" x14ac:dyDescent="0.3">
      <c r="A189" s="100">
        <v>300078200007078</v>
      </c>
      <c r="B189" s="101" t="s">
        <v>294</v>
      </c>
      <c r="C189" s="87">
        <v>209233.54</v>
      </c>
      <c r="D189" s="88">
        <f>C189*0.24</f>
        <v>50216.049599999998</v>
      </c>
      <c r="E189" s="89">
        <f>C189*0.06</f>
        <v>12554.0124</v>
      </c>
      <c r="F189" s="89">
        <f>C189*0.7</f>
        <v>146463.478</v>
      </c>
      <c r="G189" s="90" t="s">
        <v>135</v>
      </c>
      <c r="H189" s="83"/>
      <c r="I189" s="98"/>
      <c r="J189" s="84"/>
      <c r="K189" s="85"/>
      <c r="L189" s="86"/>
      <c r="M189" s="99" t="s">
        <v>114</v>
      </c>
    </row>
    <row r="190" spans="1:13" ht="14" x14ac:dyDescent="0.3">
      <c r="A190" s="100">
        <v>156022000014511</v>
      </c>
      <c r="B190" s="101" t="s">
        <v>284</v>
      </c>
      <c r="C190" s="87">
        <v>24092.04</v>
      </c>
      <c r="D190" s="88">
        <f t="shared" ref="D190:D195" si="36">C190*0.4</f>
        <v>9636.8160000000007</v>
      </c>
      <c r="E190" s="89">
        <f t="shared" ref="E190:E195" si="37">C190*0.1</f>
        <v>2409.2040000000002</v>
      </c>
      <c r="F190" s="89">
        <f t="shared" ref="F190:F195" si="38">C190*0.5</f>
        <v>12046.02</v>
      </c>
      <c r="G190" s="90"/>
      <c r="H190" s="83"/>
      <c r="I190" s="98"/>
      <c r="J190" s="102"/>
      <c r="K190" s="85"/>
      <c r="L190" s="86"/>
      <c r="M190" s="99" t="s">
        <v>114</v>
      </c>
    </row>
    <row r="191" spans="1:13" ht="14" x14ac:dyDescent="0.3">
      <c r="A191" s="100">
        <v>300048200007048</v>
      </c>
      <c r="B191" s="101" t="s">
        <v>295</v>
      </c>
      <c r="C191" s="87">
        <v>40606.29</v>
      </c>
      <c r="D191" s="88">
        <f t="shared" si="36"/>
        <v>16242.516000000001</v>
      </c>
      <c r="E191" s="89">
        <f t="shared" si="37"/>
        <v>4060.6290000000004</v>
      </c>
      <c r="F191" s="89">
        <f t="shared" si="38"/>
        <v>20303.145</v>
      </c>
      <c r="G191" s="90"/>
      <c r="H191" s="83"/>
      <c r="I191" s="98"/>
      <c r="J191" s="102"/>
      <c r="K191" s="85"/>
      <c r="L191" s="86"/>
      <c r="M191" s="99" t="s">
        <v>114</v>
      </c>
    </row>
    <row r="192" spans="1:13" ht="14" x14ac:dyDescent="0.3">
      <c r="A192" s="100">
        <v>300051200007051</v>
      </c>
      <c r="B192" s="101" t="s">
        <v>296</v>
      </c>
      <c r="C192" s="87">
        <v>1494.75</v>
      </c>
      <c r="D192" s="88">
        <f t="shared" si="36"/>
        <v>597.9</v>
      </c>
      <c r="E192" s="89">
        <f t="shared" si="37"/>
        <v>149.47499999999999</v>
      </c>
      <c r="F192" s="89">
        <f t="shared" si="38"/>
        <v>747.375</v>
      </c>
      <c r="G192" s="90"/>
      <c r="H192" s="83"/>
      <c r="I192" s="98"/>
      <c r="J192" s="102"/>
      <c r="K192" s="85"/>
      <c r="L192" s="86"/>
      <c r="M192" s="99" t="s">
        <v>114</v>
      </c>
    </row>
    <row r="193" spans="1:13" ht="14" x14ac:dyDescent="0.3">
      <c r="A193" s="100">
        <v>154812000014395</v>
      </c>
      <c r="B193" s="101" t="s">
        <v>297</v>
      </c>
      <c r="C193" s="87">
        <v>19507.75</v>
      </c>
      <c r="D193" s="88">
        <f t="shared" si="36"/>
        <v>7803.1</v>
      </c>
      <c r="E193" s="89">
        <f t="shared" si="37"/>
        <v>1950.7750000000001</v>
      </c>
      <c r="F193" s="89">
        <f t="shared" si="38"/>
        <v>9753.875</v>
      </c>
      <c r="G193" s="90"/>
      <c r="H193" s="83"/>
      <c r="I193" s="98"/>
      <c r="J193" s="102"/>
      <c r="K193" s="85"/>
      <c r="L193" s="86"/>
      <c r="M193" s="99" t="s">
        <v>114</v>
      </c>
    </row>
    <row r="194" spans="1:13" ht="14" x14ac:dyDescent="0.3">
      <c r="A194" s="100">
        <v>133642000010806</v>
      </c>
      <c r="B194" s="101" t="s">
        <v>152</v>
      </c>
      <c r="C194" s="87">
        <v>14599.300000000001</v>
      </c>
      <c r="D194" s="88">
        <f t="shared" si="36"/>
        <v>5839.7200000000012</v>
      </c>
      <c r="E194" s="89">
        <f t="shared" si="37"/>
        <v>1459.9300000000003</v>
      </c>
      <c r="F194" s="89">
        <f t="shared" si="38"/>
        <v>7299.6500000000005</v>
      </c>
      <c r="G194" s="90"/>
      <c r="H194" s="83"/>
      <c r="I194" s="98"/>
      <c r="J194" s="102"/>
      <c r="K194" s="85"/>
      <c r="L194" s="86"/>
      <c r="M194" s="99" t="s">
        <v>114</v>
      </c>
    </row>
    <row r="195" spans="1:13" s="105" customFormat="1" ht="14" x14ac:dyDescent="0.3">
      <c r="A195" s="103">
        <v>300006200007010</v>
      </c>
      <c r="B195" s="101" t="s">
        <v>298</v>
      </c>
      <c r="C195" s="87">
        <v>31691.84</v>
      </c>
      <c r="D195" s="88">
        <f t="shared" si="36"/>
        <v>12676.736000000001</v>
      </c>
      <c r="E195" s="89">
        <f t="shared" si="37"/>
        <v>3169.1840000000002</v>
      </c>
      <c r="F195" s="89">
        <f t="shared" si="38"/>
        <v>15845.92</v>
      </c>
      <c r="G195" s="90"/>
      <c r="H195" s="83"/>
      <c r="I195" s="98"/>
      <c r="J195" s="102"/>
      <c r="K195" s="85"/>
      <c r="L195" s="86"/>
      <c r="M195" s="99" t="s">
        <v>114</v>
      </c>
    </row>
    <row r="196" spans="1:13" ht="14" x14ac:dyDescent="0.3">
      <c r="A196" s="100">
        <v>300100200007101</v>
      </c>
      <c r="B196" s="101" t="s">
        <v>343</v>
      </c>
      <c r="C196" s="87">
        <v>90933.439999999988</v>
      </c>
      <c r="D196" s="88">
        <f>C196*0.24</f>
        <v>21824.025599999997</v>
      </c>
      <c r="E196" s="89">
        <f>C196*0.06</f>
        <v>5456.0063999999993</v>
      </c>
      <c r="F196" s="89">
        <f>C196*0.7</f>
        <v>63653.407999999989</v>
      </c>
      <c r="G196" s="90" t="s">
        <v>135</v>
      </c>
      <c r="H196" s="83"/>
      <c r="I196" s="98"/>
      <c r="J196" s="102"/>
      <c r="K196" s="85"/>
      <c r="L196" s="86"/>
      <c r="M196" s="99" t="s">
        <v>114</v>
      </c>
    </row>
    <row r="197" spans="1:13" ht="14" x14ac:dyDescent="0.3">
      <c r="A197" s="100">
        <v>152292000014348</v>
      </c>
      <c r="B197" s="101" t="s">
        <v>141</v>
      </c>
      <c r="C197" s="87">
        <v>8494.25</v>
      </c>
      <c r="D197" s="88">
        <f t="shared" ref="D197:D202" si="39">C197*0.4</f>
        <v>3397.7000000000003</v>
      </c>
      <c r="E197" s="89">
        <f t="shared" ref="E197:E202" si="40">C197*0.1</f>
        <v>849.42500000000007</v>
      </c>
      <c r="F197" s="89">
        <f t="shared" ref="F197:F202" si="41">C197*0.5</f>
        <v>4247.125</v>
      </c>
      <c r="G197" s="90"/>
      <c r="H197" s="83"/>
      <c r="I197" s="98"/>
      <c r="J197" s="102"/>
      <c r="K197" s="85"/>
      <c r="L197" s="86"/>
      <c r="M197" s="99" t="s">
        <v>114</v>
      </c>
    </row>
    <row r="198" spans="1:13" ht="14" x14ac:dyDescent="0.3">
      <c r="A198" s="100">
        <v>156782000014648</v>
      </c>
      <c r="B198" s="101" t="s">
        <v>299</v>
      </c>
      <c r="C198" s="87">
        <v>12938.46</v>
      </c>
      <c r="D198" s="88">
        <f t="shared" si="39"/>
        <v>5175.384</v>
      </c>
      <c r="E198" s="89">
        <f t="shared" si="40"/>
        <v>1293.846</v>
      </c>
      <c r="F198" s="89">
        <f t="shared" si="41"/>
        <v>6469.23</v>
      </c>
      <c r="G198" s="90"/>
      <c r="H198" s="83"/>
      <c r="I198" s="98"/>
      <c r="J198" s="102"/>
      <c r="K198" s="85"/>
      <c r="L198" s="86"/>
      <c r="M198" s="99" t="s">
        <v>114</v>
      </c>
    </row>
    <row r="199" spans="1:13" ht="14" x14ac:dyDescent="0.3">
      <c r="A199" s="100">
        <v>156392000014538</v>
      </c>
      <c r="B199" s="101" t="s">
        <v>300</v>
      </c>
      <c r="C199" s="87">
        <v>5582.79</v>
      </c>
      <c r="D199" s="88">
        <f t="shared" si="39"/>
        <v>2233.116</v>
      </c>
      <c r="E199" s="89">
        <f t="shared" si="40"/>
        <v>558.279</v>
      </c>
      <c r="F199" s="89">
        <f t="shared" si="41"/>
        <v>2791.395</v>
      </c>
      <c r="G199" s="90"/>
      <c r="H199" s="83"/>
      <c r="I199" s="98"/>
      <c r="J199" s="102"/>
      <c r="K199" s="85"/>
      <c r="L199" s="86"/>
      <c r="M199" s="99" t="s">
        <v>114</v>
      </c>
    </row>
    <row r="200" spans="1:13" ht="14" x14ac:dyDescent="0.3">
      <c r="A200" s="100">
        <v>300053200007053</v>
      </c>
      <c r="B200" s="101" t="s">
        <v>301</v>
      </c>
      <c r="C200" s="87">
        <v>12374.18</v>
      </c>
      <c r="D200" s="88">
        <f t="shared" si="39"/>
        <v>4949.6720000000005</v>
      </c>
      <c r="E200" s="89">
        <f t="shared" si="40"/>
        <v>1237.4180000000001</v>
      </c>
      <c r="F200" s="89">
        <f t="shared" si="41"/>
        <v>6187.09</v>
      </c>
      <c r="G200" s="90"/>
      <c r="H200" s="83"/>
      <c r="I200" s="98"/>
      <c r="J200" s="102"/>
      <c r="K200" s="85"/>
      <c r="L200" s="86"/>
      <c r="M200" s="99" t="s">
        <v>114</v>
      </c>
    </row>
    <row r="201" spans="1:13" ht="14" x14ac:dyDescent="0.3">
      <c r="A201" s="100">
        <v>300100200007105</v>
      </c>
      <c r="B201" s="101" t="s">
        <v>302</v>
      </c>
      <c r="C201" s="87">
        <v>682.34</v>
      </c>
      <c r="D201" s="88">
        <f t="shared" si="39"/>
        <v>272.93600000000004</v>
      </c>
      <c r="E201" s="89">
        <f t="shared" si="40"/>
        <v>68.234000000000009</v>
      </c>
      <c r="F201" s="89">
        <f t="shared" si="41"/>
        <v>341.17</v>
      </c>
      <c r="G201" s="90"/>
      <c r="H201" s="83"/>
      <c r="I201" s="98"/>
      <c r="J201" s="102"/>
      <c r="K201" s="85"/>
      <c r="L201" s="86"/>
      <c r="M201" s="99" t="s">
        <v>114</v>
      </c>
    </row>
    <row r="202" spans="1:13" ht="14" x14ac:dyDescent="0.3">
      <c r="A202" s="100">
        <v>157152000014717</v>
      </c>
      <c r="B202" s="101" t="s">
        <v>303</v>
      </c>
      <c r="C202" s="87">
        <v>7663.83</v>
      </c>
      <c r="D202" s="88">
        <f t="shared" si="39"/>
        <v>3065.5320000000002</v>
      </c>
      <c r="E202" s="89">
        <f t="shared" si="40"/>
        <v>766.38300000000004</v>
      </c>
      <c r="F202" s="89">
        <f t="shared" si="41"/>
        <v>3831.915</v>
      </c>
      <c r="G202" s="90"/>
      <c r="H202" s="83"/>
      <c r="I202" s="98"/>
      <c r="J202" s="102"/>
      <c r="K202" s="85"/>
      <c r="L202" s="86"/>
      <c r="M202" s="99" t="s">
        <v>114</v>
      </c>
    </row>
    <row r="203" spans="1:13" ht="14" x14ac:dyDescent="0.3">
      <c r="A203" s="100">
        <v>300100200007102</v>
      </c>
      <c r="B203" s="101" t="s">
        <v>343</v>
      </c>
      <c r="C203" s="87">
        <v>38951.29</v>
      </c>
      <c r="D203" s="88">
        <f>C203*0.24</f>
        <v>9348.3096000000005</v>
      </c>
      <c r="E203" s="89">
        <f>C203*0.06</f>
        <v>2337.0774000000001</v>
      </c>
      <c r="F203" s="89">
        <f>C203*0.7</f>
        <v>27265.902999999998</v>
      </c>
      <c r="G203" s="90" t="s">
        <v>135</v>
      </c>
      <c r="H203" s="83"/>
      <c r="I203" s="98"/>
      <c r="J203" s="102"/>
      <c r="K203" s="85"/>
      <c r="L203" s="86"/>
      <c r="M203" s="99" t="s">
        <v>114</v>
      </c>
    </row>
    <row r="204" spans="1:13" ht="14" x14ac:dyDescent="0.3">
      <c r="A204" s="100">
        <v>300054200007054</v>
      </c>
      <c r="B204" s="101" t="s">
        <v>304</v>
      </c>
      <c r="C204" s="87">
        <v>194121.31</v>
      </c>
      <c r="D204" s="88">
        <f t="shared" ref="D204:D207" si="42">C204*0.4</f>
        <v>77648.524000000005</v>
      </c>
      <c r="E204" s="89">
        <f t="shared" ref="E204:E207" si="43">C204*0.1</f>
        <v>19412.131000000001</v>
      </c>
      <c r="F204" s="89">
        <f t="shared" ref="F204:F207" si="44">C204*0.5</f>
        <v>97060.654999999999</v>
      </c>
      <c r="G204" s="90"/>
      <c r="H204" s="83"/>
      <c r="I204" s="98"/>
      <c r="J204" s="102"/>
      <c r="K204" s="85"/>
      <c r="L204" s="86"/>
      <c r="M204" s="99" t="s">
        <v>114</v>
      </c>
    </row>
    <row r="205" spans="1:13" ht="14" x14ac:dyDescent="0.3">
      <c r="A205" s="100">
        <v>300050200007050</v>
      </c>
      <c r="B205" s="101" t="s">
        <v>305</v>
      </c>
      <c r="C205" s="87">
        <v>3675.84</v>
      </c>
      <c r="D205" s="88">
        <f t="shared" si="42"/>
        <v>1470.3360000000002</v>
      </c>
      <c r="E205" s="89">
        <f t="shared" si="43"/>
        <v>367.58400000000006</v>
      </c>
      <c r="F205" s="89">
        <f t="shared" si="44"/>
        <v>1837.92</v>
      </c>
      <c r="G205" s="90"/>
      <c r="H205" s="83"/>
      <c r="I205" s="98"/>
      <c r="J205" s="102"/>
      <c r="K205" s="85"/>
      <c r="L205" s="86"/>
      <c r="M205" s="99" t="s">
        <v>114</v>
      </c>
    </row>
    <row r="206" spans="1:13" ht="14" x14ac:dyDescent="0.3">
      <c r="A206" s="100">
        <v>300081200007082</v>
      </c>
      <c r="B206" s="101" t="s">
        <v>306</v>
      </c>
      <c r="C206" s="87">
        <v>1714.8600000000001</v>
      </c>
      <c r="D206" s="88">
        <f t="shared" si="42"/>
        <v>685.94400000000007</v>
      </c>
      <c r="E206" s="89">
        <f t="shared" si="43"/>
        <v>171.48600000000002</v>
      </c>
      <c r="F206" s="89">
        <f t="shared" si="44"/>
        <v>857.43000000000006</v>
      </c>
      <c r="G206" s="90"/>
      <c r="H206" s="83"/>
      <c r="I206" s="98"/>
      <c r="J206" s="102"/>
      <c r="K206" s="85"/>
      <c r="L206" s="86"/>
      <c r="M206" s="99" t="s">
        <v>114</v>
      </c>
    </row>
    <row r="207" spans="1:13" ht="14" x14ac:dyDescent="0.3">
      <c r="A207" s="100">
        <v>153492000014207</v>
      </c>
      <c r="B207" s="101" t="s">
        <v>259</v>
      </c>
      <c r="C207" s="87">
        <v>1380.7</v>
      </c>
      <c r="D207" s="88">
        <f t="shared" si="42"/>
        <v>552.28000000000009</v>
      </c>
      <c r="E207" s="89">
        <f t="shared" si="43"/>
        <v>138.07000000000002</v>
      </c>
      <c r="F207" s="89">
        <f t="shared" si="44"/>
        <v>690.35</v>
      </c>
      <c r="G207" s="90"/>
      <c r="H207" s="83"/>
      <c r="I207" s="98"/>
      <c r="J207" s="102"/>
      <c r="K207" s="85"/>
      <c r="L207" s="86"/>
      <c r="M207" s="99" t="s">
        <v>114</v>
      </c>
    </row>
    <row r="208" spans="1:13" ht="14" x14ac:dyDescent="0.3">
      <c r="A208" s="100">
        <v>300075200007075</v>
      </c>
      <c r="B208" s="101" t="s">
        <v>307</v>
      </c>
      <c r="C208" s="87">
        <v>1192.5900000000001</v>
      </c>
      <c r="D208" s="88"/>
      <c r="E208" s="89"/>
      <c r="F208" s="89">
        <f>C208</f>
        <v>1192.5900000000001</v>
      </c>
      <c r="G208" s="90" t="s">
        <v>14</v>
      </c>
      <c r="H208" s="83"/>
      <c r="I208" s="98"/>
      <c r="J208" s="102"/>
      <c r="K208" s="85"/>
      <c r="L208" s="86"/>
      <c r="M208" s="99" t="s">
        <v>114</v>
      </c>
    </row>
    <row r="209" spans="1:13" ht="35" x14ac:dyDescent="0.3">
      <c r="A209" s="123">
        <v>300081200007081</v>
      </c>
      <c r="B209" s="124" t="s">
        <v>308</v>
      </c>
      <c r="C209" s="87">
        <v>738.37</v>
      </c>
      <c r="D209" s="88">
        <f t="shared" ref="D209:D212" si="45">C209*0.4</f>
        <v>295.34800000000001</v>
      </c>
      <c r="E209" s="89">
        <f t="shared" ref="E209:E212" si="46">C209*0.1</f>
        <v>73.837000000000003</v>
      </c>
      <c r="F209" s="89">
        <f t="shared" ref="F209:F212" si="47">C209*0.5</f>
        <v>369.185</v>
      </c>
      <c r="G209" s="125"/>
      <c r="H209" s="83"/>
      <c r="I209" s="98"/>
      <c r="J209" s="126"/>
      <c r="K209" s="127"/>
      <c r="L209" s="128"/>
      <c r="M209" s="122" t="s">
        <v>309</v>
      </c>
    </row>
    <row r="210" spans="1:13" ht="14" x14ac:dyDescent="0.3">
      <c r="A210" s="100">
        <v>300019200007019</v>
      </c>
      <c r="B210" s="101" t="s">
        <v>310</v>
      </c>
      <c r="C210" s="87">
        <v>24.01</v>
      </c>
      <c r="D210" s="88">
        <f t="shared" si="45"/>
        <v>9.604000000000001</v>
      </c>
      <c r="E210" s="89">
        <f t="shared" si="46"/>
        <v>2.4010000000000002</v>
      </c>
      <c r="F210" s="89">
        <f t="shared" si="47"/>
        <v>12.005000000000001</v>
      </c>
      <c r="G210" s="90"/>
      <c r="H210" s="83"/>
      <c r="I210" s="98"/>
      <c r="J210" s="102"/>
      <c r="K210" s="85"/>
      <c r="L210" s="86"/>
      <c r="M210" s="99" t="s">
        <v>114</v>
      </c>
    </row>
    <row r="211" spans="1:13" s="105" customFormat="1" ht="17" customHeight="1" x14ac:dyDescent="0.3">
      <c r="A211" s="100">
        <v>154282000014331</v>
      </c>
      <c r="B211" s="118" t="s">
        <v>259</v>
      </c>
      <c r="C211" s="87">
        <v>30.02</v>
      </c>
      <c r="D211" s="88">
        <f t="shared" si="45"/>
        <v>12.008000000000001</v>
      </c>
      <c r="E211" s="89">
        <f t="shared" si="46"/>
        <v>3.0020000000000002</v>
      </c>
      <c r="F211" s="89">
        <f t="shared" si="47"/>
        <v>15.01</v>
      </c>
      <c r="G211" s="121"/>
      <c r="H211" s="83"/>
      <c r="I211" s="98"/>
      <c r="J211" s="102"/>
      <c r="K211" s="85"/>
      <c r="L211" s="86"/>
      <c r="M211" s="99" t="s">
        <v>114</v>
      </c>
    </row>
    <row r="212" spans="1:13" ht="14" x14ac:dyDescent="0.3">
      <c r="A212" s="100">
        <v>300100200007108</v>
      </c>
      <c r="B212" s="101" t="s">
        <v>199</v>
      </c>
      <c r="C212" s="87">
        <v>680.97</v>
      </c>
      <c r="D212" s="88">
        <f t="shared" si="45"/>
        <v>272.38800000000003</v>
      </c>
      <c r="E212" s="89">
        <f t="shared" si="46"/>
        <v>68.097000000000008</v>
      </c>
      <c r="F212" s="89">
        <f t="shared" si="47"/>
        <v>340.48500000000001</v>
      </c>
      <c r="G212" s="90"/>
      <c r="H212" s="83"/>
      <c r="I212" s="98"/>
      <c r="J212" s="102"/>
      <c r="K212" s="85"/>
      <c r="L212" s="86"/>
      <c r="M212" s="99" t="s">
        <v>114</v>
      </c>
    </row>
    <row r="213" spans="1:13" ht="14" x14ac:dyDescent="0.3">
      <c r="A213" s="100">
        <v>300076200007076</v>
      </c>
      <c r="B213" s="101" t="s">
        <v>311</v>
      </c>
      <c r="C213" s="87">
        <v>120992.47</v>
      </c>
      <c r="D213" s="88">
        <f>C213*0.24</f>
        <v>29038.192800000001</v>
      </c>
      <c r="E213" s="89">
        <f>C213*0.06</f>
        <v>7259.5482000000002</v>
      </c>
      <c r="F213" s="89">
        <f>C213*0.7</f>
        <v>84694.728999999992</v>
      </c>
      <c r="G213" s="90" t="s">
        <v>135</v>
      </c>
      <c r="H213" s="83"/>
      <c r="I213" s="98"/>
      <c r="J213" s="102"/>
      <c r="K213" s="85"/>
      <c r="L213" s="86"/>
      <c r="M213" s="99" t="s">
        <v>114</v>
      </c>
    </row>
    <row r="214" spans="1:13" ht="14" x14ac:dyDescent="0.3">
      <c r="A214" s="100">
        <v>300056200007056</v>
      </c>
      <c r="B214" s="101" t="s">
        <v>312</v>
      </c>
      <c r="C214" s="87">
        <v>360.18</v>
      </c>
      <c r="D214" s="88">
        <f>C214*0.4</f>
        <v>144.072</v>
      </c>
      <c r="E214" s="89">
        <f>C214*0.1</f>
        <v>36.018000000000001</v>
      </c>
      <c r="F214" s="89">
        <f>C214*0.5</f>
        <v>180.09</v>
      </c>
      <c r="G214" s="90"/>
      <c r="H214" s="83"/>
      <c r="I214" s="98"/>
      <c r="J214" s="102"/>
      <c r="K214" s="85"/>
      <c r="L214" s="86"/>
      <c r="M214" s="99" t="s">
        <v>114</v>
      </c>
    </row>
    <row r="215" spans="1:13" ht="14" x14ac:dyDescent="0.3">
      <c r="A215" s="100">
        <v>135702000011986</v>
      </c>
      <c r="B215" s="101" t="s">
        <v>313</v>
      </c>
      <c r="C215" s="87">
        <v>495.01</v>
      </c>
      <c r="D215" s="88"/>
      <c r="E215" s="89"/>
      <c r="F215" s="89">
        <f>C215</f>
        <v>495.01</v>
      </c>
      <c r="G215" s="90" t="s">
        <v>14</v>
      </c>
      <c r="H215" s="83"/>
      <c r="I215" s="98"/>
      <c r="J215" s="102"/>
      <c r="K215" s="85"/>
      <c r="L215" s="86"/>
      <c r="M215" s="99" t="s">
        <v>114</v>
      </c>
    </row>
    <row r="216" spans="1:13" ht="14" x14ac:dyDescent="0.3">
      <c r="A216" s="100">
        <v>3000102000007010</v>
      </c>
      <c r="B216" s="101" t="s">
        <v>314</v>
      </c>
      <c r="C216" s="87">
        <v>71301.62999999999</v>
      </c>
      <c r="D216" s="88">
        <f t="shared" ref="D216:D217" si="48">C216*0.4</f>
        <v>28520.651999999998</v>
      </c>
      <c r="E216" s="89">
        <f t="shared" ref="E216:E217" si="49">C216*0.1</f>
        <v>7130.1629999999996</v>
      </c>
      <c r="F216" s="89">
        <f t="shared" ref="F216:F217" si="50">C216*0.5</f>
        <v>35650.814999999995</v>
      </c>
      <c r="G216" s="90"/>
      <c r="H216" s="83"/>
      <c r="I216" s="98"/>
      <c r="J216" s="102"/>
      <c r="K216" s="85"/>
      <c r="L216" s="86"/>
      <c r="M216" s="99" t="s">
        <v>114</v>
      </c>
    </row>
    <row r="217" spans="1:13" ht="14" x14ac:dyDescent="0.3">
      <c r="A217" s="100">
        <v>300047200007049</v>
      </c>
      <c r="B217" s="101" t="s">
        <v>315</v>
      </c>
      <c r="C217" s="87">
        <v>242.12</v>
      </c>
      <c r="D217" s="88">
        <f t="shared" si="48"/>
        <v>96.848000000000013</v>
      </c>
      <c r="E217" s="89">
        <f t="shared" si="49"/>
        <v>24.212000000000003</v>
      </c>
      <c r="F217" s="89">
        <f t="shared" si="50"/>
        <v>121.06</v>
      </c>
      <c r="G217" s="90"/>
      <c r="H217" s="83"/>
      <c r="I217" s="98"/>
      <c r="J217" s="102"/>
      <c r="K217" s="85"/>
      <c r="L217" s="86"/>
      <c r="M217" s="99" t="s">
        <v>114</v>
      </c>
    </row>
    <row r="218" spans="1:13" ht="14" x14ac:dyDescent="0.3">
      <c r="A218" s="100">
        <v>300100200007104</v>
      </c>
      <c r="B218" s="118" t="s">
        <v>344</v>
      </c>
      <c r="C218" s="87">
        <v>1068.25</v>
      </c>
      <c r="D218" s="119">
        <f>C218*0.19</f>
        <v>202.9675</v>
      </c>
      <c r="E218" s="120">
        <f>C218*0.06</f>
        <v>64.094999999999999</v>
      </c>
      <c r="F218" s="120">
        <f>C218*0.75</f>
        <v>801.1875</v>
      </c>
      <c r="G218" s="121" t="s">
        <v>345</v>
      </c>
      <c r="H218" s="83"/>
      <c r="I218" s="98"/>
      <c r="J218" s="102"/>
      <c r="K218" s="85"/>
      <c r="L218" s="86"/>
      <c r="M218" s="99" t="s">
        <v>114</v>
      </c>
    </row>
    <row r="219" spans="1:13" ht="14" x14ac:dyDescent="0.3">
      <c r="A219" s="100">
        <v>157042000014712</v>
      </c>
      <c r="B219" s="101" t="s">
        <v>316</v>
      </c>
      <c r="C219" s="87">
        <v>290.14</v>
      </c>
      <c r="D219" s="88">
        <f t="shared" ref="D219:D221" si="51">C219*0.4</f>
        <v>116.056</v>
      </c>
      <c r="E219" s="89">
        <f t="shared" ref="E219:E221" si="52">C219*0.1</f>
        <v>29.013999999999999</v>
      </c>
      <c r="F219" s="89">
        <f t="shared" ref="F219:F221" si="53">C219*0.5</f>
        <v>145.07</v>
      </c>
      <c r="G219" s="90"/>
      <c r="H219" s="83"/>
      <c r="I219" s="98"/>
      <c r="J219" s="102"/>
      <c r="K219" s="85"/>
      <c r="L219" s="86"/>
      <c r="M219" s="99" t="s">
        <v>114</v>
      </c>
    </row>
    <row r="220" spans="1:13" ht="14" x14ac:dyDescent="0.3">
      <c r="A220" s="100">
        <v>15544200007016</v>
      </c>
      <c r="B220" s="101" t="s">
        <v>21</v>
      </c>
      <c r="C220" s="87">
        <v>690.13</v>
      </c>
      <c r="D220" s="88">
        <f t="shared" si="51"/>
        <v>276.05200000000002</v>
      </c>
      <c r="E220" s="89">
        <f t="shared" si="52"/>
        <v>69.013000000000005</v>
      </c>
      <c r="F220" s="89">
        <f t="shared" si="53"/>
        <v>345.065</v>
      </c>
      <c r="G220" s="90"/>
      <c r="H220" s="83"/>
      <c r="I220" s="98"/>
      <c r="J220" s="102"/>
      <c r="K220" s="85"/>
      <c r="L220" s="86"/>
      <c r="M220" s="99" t="s">
        <v>114</v>
      </c>
    </row>
    <row r="221" spans="1:13" ht="14" x14ac:dyDescent="0.3">
      <c r="A221" s="100">
        <v>300009200007013</v>
      </c>
      <c r="B221" s="101" t="s">
        <v>20</v>
      </c>
      <c r="C221" s="87">
        <v>448.23</v>
      </c>
      <c r="D221" s="88">
        <f t="shared" si="51"/>
        <v>179.29200000000003</v>
      </c>
      <c r="E221" s="89">
        <f t="shared" si="52"/>
        <v>44.823000000000008</v>
      </c>
      <c r="F221" s="89">
        <f t="shared" si="53"/>
        <v>224.11500000000001</v>
      </c>
      <c r="G221" s="90"/>
      <c r="H221" s="83"/>
      <c r="I221" s="98"/>
      <c r="J221" s="102"/>
      <c r="K221" s="85"/>
      <c r="L221" s="86"/>
      <c r="M221" s="99" t="s">
        <v>114</v>
      </c>
    </row>
    <row r="222" spans="1:13" ht="14" x14ac:dyDescent="0.3">
      <c r="A222" s="100">
        <v>300085200007086</v>
      </c>
      <c r="B222" s="101" t="s">
        <v>317</v>
      </c>
      <c r="C222" s="87">
        <v>176.09</v>
      </c>
      <c r="D222" s="88">
        <f>C222*0.24</f>
        <v>42.261600000000001</v>
      </c>
      <c r="E222" s="89">
        <f>C222*0.06</f>
        <v>10.5654</v>
      </c>
      <c r="F222" s="89">
        <f>C222*0.7</f>
        <v>123.26299999999999</v>
      </c>
      <c r="G222" s="90" t="s">
        <v>135</v>
      </c>
      <c r="H222" s="83"/>
      <c r="I222" s="98"/>
      <c r="J222" s="102"/>
      <c r="K222" s="85"/>
      <c r="L222" s="86"/>
      <c r="M222" s="99" t="s">
        <v>114</v>
      </c>
    </row>
    <row r="223" spans="1:13" ht="14" x14ac:dyDescent="0.3">
      <c r="A223" s="100">
        <v>300057200007057</v>
      </c>
      <c r="B223" s="101" t="s">
        <v>318</v>
      </c>
      <c r="C223" s="87">
        <v>128.06</v>
      </c>
      <c r="D223" s="88">
        <f t="shared" ref="D223:D224" si="54">C223*0.4</f>
        <v>51.224000000000004</v>
      </c>
      <c r="E223" s="89">
        <f t="shared" ref="E223:E224" si="55">C223*0.1</f>
        <v>12.806000000000001</v>
      </c>
      <c r="F223" s="89">
        <f t="shared" ref="F223:F224" si="56">C223*0.5</f>
        <v>64.03</v>
      </c>
      <c r="G223" s="90"/>
      <c r="H223" s="83"/>
      <c r="I223" s="98"/>
      <c r="J223" s="102"/>
      <c r="K223" s="85"/>
      <c r="L223" s="86"/>
      <c r="M223" s="99" t="s">
        <v>114</v>
      </c>
    </row>
    <row r="224" spans="1:13" ht="14" x14ac:dyDescent="0.3">
      <c r="A224" s="100">
        <v>300043200007043</v>
      </c>
      <c r="B224" s="101" t="s">
        <v>319</v>
      </c>
      <c r="C224" s="87">
        <v>296.14999999999998</v>
      </c>
      <c r="D224" s="88">
        <f t="shared" si="54"/>
        <v>118.46</v>
      </c>
      <c r="E224" s="89">
        <f t="shared" si="55"/>
        <v>29.614999999999998</v>
      </c>
      <c r="F224" s="89">
        <f t="shared" si="56"/>
        <v>148.07499999999999</v>
      </c>
      <c r="G224" s="90"/>
      <c r="H224" s="83"/>
      <c r="I224" s="98"/>
      <c r="J224" s="102"/>
      <c r="K224" s="85"/>
      <c r="L224" s="86"/>
      <c r="M224" s="99" t="s">
        <v>114</v>
      </c>
    </row>
    <row r="225" spans="1:13" ht="14" x14ac:dyDescent="0.3">
      <c r="A225" s="100">
        <v>150392000013958</v>
      </c>
      <c r="B225" s="101" t="s">
        <v>320</v>
      </c>
      <c r="C225" s="87">
        <v>203.01</v>
      </c>
      <c r="D225" s="88"/>
      <c r="E225" s="89"/>
      <c r="F225" s="89">
        <f>C225</f>
        <v>203.01</v>
      </c>
      <c r="G225" s="90" t="s">
        <v>14</v>
      </c>
      <c r="H225" s="83"/>
      <c r="I225" s="98"/>
      <c r="J225" s="102"/>
      <c r="K225" s="85"/>
      <c r="L225" s="86"/>
      <c r="M225" s="99" t="s">
        <v>114</v>
      </c>
    </row>
    <row r="226" spans="1:13" ht="14" x14ac:dyDescent="0.3">
      <c r="A226" s="100">
        <v>300100200007103</v>
      </c>
      <c r="B226" s="101" t="s">
        <v>344</v>
      </c>
      <c r="C226" s="87">
        <v>527.23</v>
      </c>
      <c r="D226" s="119">
        <f>C226*0.19</f>
        <v>100.17370000000001</v>
      </c>
      <c r="E226" s="120">
        <f>C226*0.06</f>
        <v>31.633800000000001</v>
      </c>
      <c r="F226" s="120">
        <f>C226*0.75</f>
        <v>395.42250000000001</v>
      </c>
      <c r="G226" s="90" t="s">
        <v>345</v>
      </c>
      <c r="H226" s="83"/>
      <c r="I226" s="98"/>
      <c r="J226" s="102"/>
      <c r="K226" s="85"/>
      <c r="L226" s="86"/>
      <c r="M226" s="99" t="s">
        <v>114</v>
      </c>
    </row>
    <row r="227" spans="1:13" ht="14" x14ac:dyDescent="0.3">
      <c r="A227" s="100">
        <v>3000112000007010</v>
      </c>
      <c r="B227" s="101" t="s">
        <v>321</v>
      </c>
      <c r="C227" s="87">
        <v>186.09</v>
      </c>
      <c r="D227" s="88">
        <f t="shared" ref="D227:D237" si="57">C227*0.4</f>
        <v>74.436000000000007</v>
      </c>
      <c r="E227" s="89">
        <f t="shared" ref="E227:E237" si="58">C227*0.1</f>
        <v>18.609000000000002</v>
      </c>
      <c r="F227" s="89">
        <f t="shared" ref="F227:F237" si="59">C227*0.5</f>
        <v>93.045000000000002</v>
      </c>
      <c r="G227" s="90"/>
      <c r="H227" s="83"/>
      <c r="I227" s="98"/>
      <c r="J227" s="102"/>
      <c r="K227" s="85"/>
      <c r="L227" s="86"/>
      <c r="M227" s="99" t="s">
        <v>114</v>
      </c>
    </row>
    <row r="228" spans="1:13" ht="14" x14ac:dyDescent="0.3">
      <c r="A228" s="100">
        <v>300091200007091</v>
      </c>
      <c r="B228" s="101" t="s">
        <v>322</v>
      </c>
      <c r="C228" s="87">
        <v>188.09</v>
      </c>
      <c r="D228" s="88">
        <f t="shared" si="57"/>
        <v>75.236000000000004</v>
      </c>
      <c r="E228" s="89">
        <f t="shared" si="58"/>
        <v>18.809000000000001</v>
      </c>
      <c r="F228" s="89">
        <f t="shared" si="59"/>
        <v>94.045000000000002</v>
      </c>
      <c r="G228" s="90"/>
      <c r="H228" s="83"/>
      <c r="I228" s="98"/>
      <c r="J228" s="102"/>
      <c r="K228" s="85"/>
      <c r="L228" s="86"/>
      <c r="M228" s="99" t="s">
        <v>114</v>
      </c>
    </row>
    <row r="229" spans="1:13" ht="14" x14ac:dyDescent="0.3">
      <c r="A229" s="100">
        <v>300100200007112</v>
      </c>
      <c r="B229" s="101" t="s">
        <v>323</v>
      </c>
      <c r="C229" s="87">
        <v>233.02</v>
      </c>
      <c r="D229" s="88">
        <f t="shared" si="57"/>
        <v>93.208000000000013</v>
      </c>
      <c r="E229" s="89">
        <f t="shared" si="58"/>
        <v>23.302000000000003</v>
      </c>
      <c r="F229" s="89">
        <f t="shared" si="59"/>
        <v>116.51</v>
      </c>
      <c r="G229" s="90"/>
      <c r="H229" s="83"/>
      <c r="I229" s="98"/>
      <c r="J229" s="102"/>
      <c r="K229" s="85"/>
      <c r="L229" s="86"/>
      <c r="M229" s="99" t="s">
        <v>114</v>
      </c>
    </row>
    <row r="230" spans="1:13" ht="14" x14ac:dyDescent="0.3">
      <c r="A230" s="100">
        <v>300030200007030</v>
      </c>
      <c r="B230" s="101" t="s">
        <v>324</v>
      </c>
      <c r="C230" s="87">
        <v>144.07999999999998</v>
      </c>
      <c r="D230" s="88">
        <f t="shared" si="57"/>
        <v>57.631999999999998</v>
      </c>
      <c r="E230" s="89">
        <f t="shared" si="58"/>
        <v>14.407999999999999</v>
      </c>
      <c r="F230" s="89">
        <f t="shared" si="59"/>
        <v>72.039999999999992</v>
      </c>
      <c r="G230" s="90"/>
      <c r="H230" s="83"/>
      <c r="I230" s="98"/>
      <c r="J230" s="102"/>
      <c r="K230" s="85"/>
      <c r="L230" s="86"/>
      <c r="M230" s="99" t="s">
        <v>114</v>
      </c>
    </row>
    <row r="231" spans="1:13" ht="14" x14ac:dyDescent="0.3">
      <c r="A231" s="100">
        <v>157162000014720</v>
      </c>
      <c r="B231" s="101" t="s">
        <v>325</v>
      </c>
      <c r="C231" s="87">
        <v>130.06</v>
      </c>
      <c r="D231" s="88">
        <f t="shared" si="57"/>
        <v>52.024000000000001</v>
      </c>
      <c r="E231" s="89">
        <f t="shared" si="58"/>
        <v>13.006</v>
      </c>
      <c r="F231" s="89">
        <f t="shared" si="59"/>
        <v>65.03</v>
      </c>
      <c r="G231" s="90"/>
      <c r="H231" s="83"/>
      <c r="I231" s="98"/>
      <c r="J231" s="102"/>
      <c r="K231" s="85"/>
      <c r="L231" s="86"/>
      <c r="M231" s="99" t="s">
        <v>114</v>
      </c>
    </row>
    <row r="232" spans="1:13" ht="14" x14ac:dyDescent="0.3">
      <c r="A232" s="100">
        <v>300032200007032</v>
      </c>
      <c r="B232" s="101" t="s">
        <v>326</v>
      </c>
      <c r="C232" s="87">
        <v>124.06</v>
      </c>
      <c r="D232" s="88">
        <f t="shared" si="57"/>
        <v>49.624000000000002</v>
      </c>
      <c r="E232" s="89">
        <f t="shared" si="58"/>
        <v>12.406000000000001</v>
      </c>
      <c r="F232" s="89">
        <f t="shared" si="59"/>
        <v>62.03</v>
      </c>
      <c r="G232" s="90"/>
      <c r="H232" s="83"/>
      <c r="I232" s="98"/>
      <c r="J232" s="102"/>
      <c r="K232" s="85"/>
      <c r="L232" s="86"/>
      <c r="M232" s="99" t="s">
        <v>114</v>
      </c>
    </row>
    <row r="233" spans="1:13" ht="14" x14ac:dyDescent="0.3">
      <c r="A233" s="100">
        <v>300031200007031</v>
      </c>
      <c r="B233" s="101" t="s">
        <v>326</v>
      </c>
      <c r="C233" s="87">
        <v>82.050000000000011</v>
      </c>
      <c r="D233" s="88">
        <f t="shared" si="57"/>
        <v>32.820000000000007</v>
      </c>
      <c r="E233" s="89">
        <f t="shared" si="58"/>
        <v>8.2050000000000018</v>
      </c>
      <c r="F233" s="89">
        <f t="shared" si="59"/>
        <v>41.025000000000006</v>
      </c>
      <c r="G233" s="90"/>
      <c r="H233" s="83"/>
      <c r="I233" s="98"/>
      <c r="J233" s="102"/>
      <c r="K233" s="85"/>
      <c r="L233" s="86"/>
      <c r="M233" s="99" t="s">
        <v>114</v>
      </c>
    </row>
    <row r="234" spans="1:13" ht="14" x14ac:dyDescent="0.3">
      <c r="A234" s="100">
        <v>300044200007044</v>
      </c>
      <c r="B234" s="101" t="s">
        <v>327</v>
      </c>
      <c r="C234" s="87">
        <v>120.06</v>
      </c>
      <c r="D234" s="88">
        <f t="shared" si="57"/>
        <v>48.024000000000001</v>
      </c>
      <c r="E234" s="89">
        <f t="shared" si="58"/>
        <v>12.006</v>
      </c>
      <c r="F234" s="89">
        <f t="shared" si="59"/>
        <v>60.03</v>
      </c>
      <c r="G234" s="90"/>
      <c r="H234" s="83"/>
      <c r="I234" s="98"/>
      <c r="J234" s="102"/>
      <c r="K234" s="85"/>
      <c r="L234" s="86"/>
      <c r="M234" s="99" t="s">
        <v>114</v>
      </c>
    </row>
    <row r="235" spans="1:13" ht="14" x14ac:dyDescent="0.3">
      <c r="A235" s="100">
        <v>300100200007116</v>
      </c>
      <c r="B235" s="101" t="s">
        <v>328</v>
      </c>
      <c r="C235" s="87">
        <v>70.040000000000006</v>
      </c>
      <c r="D235" s="88">
        <f t="shared" si="57"/>
        <v>28.016000000000005</v>
      </c>
      <c r="E235" s="89">
        <f t="shared" si="58"/>
        <v>7.0040000000000013</v>
      </c>
      <c r="F235" s="89">
        <f t="shared" si="59"/>
        <v>35.020000000000003</v>
      </c>
      <c r="G235" s="90"/>
      <c r="H235" s="83"/>
      <c r="I235" s="98"/>
      <c r="J235" s="102"/>
      <c r="K235" s="85"/>
      <c r="L235" s="86"/>
      <c r="M235" s="99" t="s">
        <v>114</v>
      </c>
    </row>
    <row r="236" spans="1:13" ht="14" x14ac:dyDescent="0.3">
      <c r="A236" s="100">
        <v>300074200007074</v>
      </c>
      <c r="B236" s="101" t="s">
        <v>329</v>
      </c>
      <c r="C236" s="87">
        <v>100.05</v>
      </c>
      <c r="D236" s="88">
        <f t="shared" si="57"/>
        <v>40.020000000000003</v>
      </c>
      <c r="E236" s="89">
        <f t="shared" si="58"/>
        <v>10.005000000000001</v>
      </c>
      <c r="F236" s="89">
        <f t="shared" si="59"/>
        <v>50.024999999999999</v>
      </c>
      <c r="G236" s="90"/>
      <c r="H236" s="83"/>
      <c r="I236" s="98"/>
      <c r="J236" s="102"/>
      <c r="K236" s="85"/>
      <c r="L236" s="86"/>
      <c r="M236" s="99" t="s">
        <v>114</v>
      </c>
    </row>
    <row r="237" spans="1:13" ht="14" x14ac:dyDescent="0.3">
      <c r="A237" s="100">
        <v>300062200007062</v>
      </c>
      <c r="B237" s="101" t="s">
        <v>171</v>
      </c>
      <c r="C237" s="87">
        <v>64.03</v>
      </c>
      <c r="D237" s="88">
        <f t="shared" si="57"/>
        <v>25.612000000000002</v>
      </c>
      <c r="E237" s="89">
        <f t="shared" si="58"/>
        <v>6.4030000000000005</v>
      </c>
      <c r="F237" s="89">
        <f t="shared" si="59"/>
        <v>32.015000000000001</v>
      </c>
      <c r="G237" s="90"/>
      <c r="H237" s="83"/>
      <c r="I237" s="98"/>
      <c r="J237" s="102"/>
      <c r="K237" s="85"/>
      <c r="L237" s="86"/>
      <c r="M237" s="99" t="s">
        <v>114</v>
      </c>
    </row>
    <row r="238" spans="1:13" ht="14" x14ac:dyDescent="0.3">
      <c r="A238" s="100">
        <v>149722000013909</v>
      </c>
      <c r="B238" s="101" t="s">
        <v>330</v>
      </c>
      <c r="C238" s="87">
        <v>11</v>
      </c>
      <c r="D238" s="88"/>
      <c r="E238" s="89"/>
      <c r="F238" s="89">
        <f>C238</f>
        <v>11</v>
      </c>
      <c r="G238" s="90" t="s">
        <v>14</v>
      </c>
      <c r="H238" s="83"/>
      <c r="I238" s="98"/>
      <c r="J238" s="102"/>
      <c r="K238" s="85"/>
      <c r="L238" s="86"/>
      <c r="M238" s="99" t="s">
        <v>114</v>
      </c>
    </row>
    <row r="239" spans="1:13" ht="14" x14ac:dyDescent="0.3">
      <c r="A239" s="100">
        <v>3000132000007010</v>
      </c>
      <c r="B239" s="101" t="s">
        <v>331</v>
      </c>
      <c r="C239" s="87">
        <v>6</v>
      </c>
      <c r="D239" s="88">
        <f>C239*0.4</f>
        <v>2.4000000000000004</v>
      </c>
      <c r="E239" s="89">
        <f>C239*0.1</f>
        <v>0.60000000000000009</v>
      </c>
      <c r="F239" s="89">
        <f>C239*0.5</f>
        <v>3</v>
      </c>
      <c r="G239" s="90"/>
      <c r="H239" s="83"/>
      <c r="I239" s="98"/>
      <c r="J239" s="102"/>
      <c r="K239" s="85"/>
      <c r="L239" s="86"/>
      <c r="M239" s="99" t="s">
        <v>114</v>
      </c>
    </row>
    <row r="240" spans="1:13" ht="14" x14ac:dyDescent="0.3">
      <c r="A240" s="100">
        <v>156412000014534</v>
      </c>
      <c r="B240" s="101" t="s">
        <v>332</v>
      </c>
      <c r="C240" s="87">
        <v>204.01</v>
      </c>
      <c r="D240" s="88"/>
      <c r="E240" s="89"/>
      <c r="F240" s="89">
        <f>C240</f>
        <v>204.01</v>
      </c>
      <c r="G240" s="90" t="s">
        <v>14</v>
      </c>
      <c r="H240" s="83"/>
      <c r="I240" s="98"/>
      <c r="J240" s="102"/>
      <c r="K240" s="85"/>
      <c r="L240" s="86"/>
      <c r="M240" s="99" t="s">
        <v>114</v>
      </c>
    </row>
    <row r="241" spans="1:13" ht="14" x14ac:dyDescent="0.3">
      <c r="A241" s="100">
        <v>300055200007055</v>
      </c>
      <c r="B241" s="101" t="s">
        <v>333</v>
      </c>
      <c r="C241" s="87">
        <v>1</v>
      </c>
      <c r="D241" s="88">
        <f t="shared" ref="D241:D242" si="60">C241*0.4</f>
        <v>0.4</v>
      </c>
      <c r="E241" s="89">
        <f t="shared" ref="E241:E242" si="61">C241*0.1</f>
        <v>0.1</v>
      </c>
      <c r="F241" s="89">
        <f t="shared" ref="F241:F242" si="62">C241*0.5</f>
        <v>0.5</v>
      </c>
      <c r="G241" s="90"/>
      <c r="H241" s="83"/>
      <c r="I241" s="98"/>
      <c r="J241" s="102"/>
      <c r="K241" s="85"/>
      <c r="L241" s="86"/>
      <c r="M241" s="99" t="s">
        <v>114</v>
      </c>
    </row>
    <row r="242" spans="1:13" ht="14" x14ac:dyDescent="0.3">
      <c r="A242" s="100">
        <v>300100200007110</v>
      </c>
      <c r="B242" s="101" t="s">
        <v>334</v>
      </c>
      <c r="C242" s="87">
        <v>222.12</v>
      </c>
      <c r="D242" s="88">
        <f t="shared" si="60"/>
        <v>88.848000000000013</v>
      </c>
      <c r="E242" s="89">
        <f t="shared" si="61"/>
        <v>22.212000000000003</v>
      </c>
      <c r="F242" s="89">
        <f t="shared" si="62"/>
        <v>111.06</v>
      </c>
      <c r="G242" s="90"/>
      <c r="H242" s="83"/>
      <c r="I242" s="98"/>
      <c r="J242" s="102"/>
      <c r="K242" s="85"/>
      <c r="L242" s="86"/>
      <c r="M242" s="99" t="s">
        <v>114</v>
      </c>
    </row>
    <row r="243" spans="1:13" ht="14" x14ac:dyDescent="0.3">
      <c r="A243" s="100">
        <v>157742000014826</v>
      </c>
      <c r="B243" s="101" t="s">
        <v>335</v>
      </c>
      <c r="C243" s="87">
        <v>155121.34</v>
      </c>
      <c r="D243" s="88"/>
      <c r="E243" s="89"/>
      <c r="F243" s="89">
        <f>C243</f>
        <v>155121.34</v>
      </c>
      <c r="G243" s="90" t="s">
        <v>14</v>
      </c>
      <c r="H243" s="83"/>
      <c r="I243" s="98"/>
      <c r="J243" s="102"/>
      <c r="K243" s="85"/>
      <c r="L243" s="86"/>
      <c r="M243" s="99" t="s">
        <v>114</v>
      </c>
    </row>
    <row r="244" spans="1:13" ht="14" x14ac:dyDescent="0.3">
      <c r="A244" s="100">
        <v>30012500007139</v>
      </c>
      <c r="B244" s="101" t="s">
        <v>336</v>
      </c>
      <c r="C244" s="87">
        <v>11526.76</v>
      </c>
      <c r="D244" s="88">
        <f t="shared" ref="D244:D245" si="63">C244*0.4</f>
        <v>4610.7040000000006</v>
      </c>
      <c r="E244" s="89">
        <f t="shared" ref="E244:E245" si="64">C244*0.1</f>
        <v>1152.6760000000002</v>
      </c>
      <c r="F244" s="89">
        <f t="shared" ref="F244:F245" si="65">C244*0.5</f>
        <v>5763.38</v>
      </c>
      <c r="G244" s="90"/>
      <c r="H244" s="83"/>
      <c r="I244" s="98"/>
      <c r="J244" s="102"/>
      <c r="K244" s="85"/>
      <c r="L244" s="86"/>
      <c r="M244" s="99" t="s">
        <v>114</v>
      </c>
    </row>
    <row r="245" spans="1:13" ht="14" x14ac:dyDescent="0.3">
      <c r="A245" s="100">
        <v>30011900007133</v>
      </c>
      <c r="B245" s="101" t="s">
        <v>337</v>
      </c>
      <c r="C245" s="87">
        <v>71361.67</v>
      </c>
      <c r="D245" s="88">
        <f t="shared" si="63"/>
        <v>28544.668000000001</v>
      </c>
      <c r="E245" s="89">
        <f t="shared" si="64"/>
        <v>7136.1670000000004</v>
      </c>
      <c r="F245" s="89">
        <f t="shared" si="65"/>
        <v>35680.834999999999</v>
      </c>
      <c r="G245" s="90"/>
      <c r="H245" s="83"/>
      <c r="I245" s="98"/>
      <c r="J245" s="102"/>
      <c r="K245" s="85"/>
      <c r="L245" s="86"/>
      <c r="M245" s="99" t="s">
        <v>114</v>
      </c>
    </row>
    <row r="246" spans="1:13" ht="14" x14ac:dyDescent="0.3">
      <c r="A246" s="100">
        <v>30012500007140</v>
      </c>
      <c r="B246" s="101" t="s">
        <v>338</v>
      </c>
      <c r="C246" s="87">
        <v>7330.3</v>
      </c>
      <c r="D246" s="88">
        <f t="shared" ref="D246:D249" si="66">C246*0.34</f>
        <v>2492.3020000000001</v>
      </c>
      <c r="E246" s="89">
        <f t="shared" ref="E246:E249" si="67">C246*0.06</f>
        <v>439.81799999999998</v>
      </c>
      <c r="F246" s="89">
        <f t="shared" ref="F246:F249" si="68">C246*0.6</f>
        <v>4398.18</v>
      </c>
      <c r="G246" s="90" t="s">
        <v>138</v>
      </c>
      <c r="H246" s="83"/>
      <c r="I246" s="98"/>
      <c r="J246" s="102"/>
      <c r="K246" s="85"/>
      <c r="L246" s="86"/>
      <c r="M246" s="99" t="s">
        <v>114</v>
      </c>
    </row>
    <row r="247" spans="1:13" ht="14" x14ac:dyDescent="0.3">
      <c r="A247" s="100">
        <v>30013400007151</v>
      </c>
      <c r="B247" s="101" t="s">
        <v>339</v>
      </c>
      <c r="C247" s="87">
        <v>18920.29</v>
      </c>
      <c r="D247" s="88">
        <f t="shared" si="66"/>
        <v>6432.8986000000004</v>
      </c>
      <c r="E247" s="89">
        <f t="shared" si="67"/>
        <v>1135.2174</v>
      </c>
      <c r="F247" s="89">
        <f t="shared" si="68"/>
        <v>11352.174000000001</v>
      </c>
      <c r="G247" s="90" t="s">
        <v>138</v>
      </c>
      <c r="H247" s="83"/>
      <c r="I247" s="98"/>
      <c r="J247" s="102"/>
      <c r="K247" s="85"/>
      <c r="L247" s="86"/>
      <c r="M247" s="99" t="s">
        <v>114</v>
      </c>
    </row>
    <row r="248" spans="1:13" ht="14" x14ac:dyDescent="0.3">
      <c r="A248" s="100">
        <v>30012500007142</v>
      </c>
      <c r="B248" s="101" t="s">
        <v>338</v>
      </c>
      <c r="C248" s="87">
        <v>1199.98</v>
      </c>
      <c r="D248" s="88">
        <f t="shared" si="66"/>
        <v>407.99320000000006</v>
      </c>
      <c r="E248" s="89">
        <f t="shared" si="67"/>
        <v>71.998800000000003</v>
      </c>
      <c r="F248" s="89">
        <f t="shared" si="68"/>
        <v>719.98799999999994</v>
      </c>
      <c r="G248" s="90" t="s">
        <v>138</v>
      </c>
      <c r="H248" s="83"/>
      <c r="I248" s="98"/>
      <c r="J248" s="102"/>
      <c r="K248" s="85"/>
      <c r="L248" s="86"/>
      <c r="M248" s="99" t="s">
        <v>114</v>
      </c>
    </row>
    <row r="249" spans="1:13" ht="14" x14ac:dyDescent="0.3">
      <c r="A249" s="100">
        <v>30012500007141</v>
      </c>
      <c r="B249" s="101" t="s">
        <v>338</v>
      </c>
      <c r="C249" s="87">
        <v>1100.0899999999999</v>
      </c>
      <c r="D249" s="88">
        <f t="shared" si="66"/>
        <v>374.03059999999999</v>
      </c>
      <c r="E249" s="89">
        <f t="shared" si="67"/>
        <v>66.005399999999995</v>
      </c>
      <c r="F249" s="89">
        <f t="shared" si="68"/>
        <v>660.05399999999997</v>
      </c>
      <c r="G249" s="90" t="s">
        <v>138</v>
      </c>
      <c r="H249" s="83"/>
      <c r="I249" s="98"/>
      <c r="J249" s="102"/>
      <c r="K249" s="85"/>
      <c r="L249" s="86"/>
      <c r="M249" s="99" t="s">
        <v>114</v>
      </c>
    </row>
    <row r="250" spans="1:13" ht="14" x14ac:dyDescent="0.3">
      <c r="A250" s="100">
        <v>300100200007127</v>
      </c>
      <c r="B250" s="101" t="s">
        <v>340</v>
      </c>
      <c r="C250" s="87">
        <v>268.62</v>
      </c>
      <c r="D250" s="88">
        <f>C250*0.4</f>
        <v>107.44800000000001</v>
      </c>
      <c r="E250" s="89">
        <f>C250*0.1</f>
        <v>26.862000000000002</v>
      </c>
      <c r="F250" s="89">
        <f>C250*0.5</f>
        <v>134.31</v>
      </c>
      <c r="G250" s="90"/>
      <c r="H250" s="83"/>
      <c r="I250" s="98"/>
      <c r="J250" s="102"/>
      <c r="K250" s="85"/>
      <c r="L250" s="86"/>
      <c r="M250" s="99" t="s">
        <v>114</v>
      </c>
    </row>
    <row r="251" spans="1:13" ht="14" x14ac:dyDescent="0.3">
      <c r="A251" s="100">
        <v>30013400007152</v>
      </c>
      <c r="B251" s="101" t="s">
        <v>339</v>
      </c>
      <c r="C251" s="87">
        <v>9850.4</v>
      </c>
      <c r="D251" s="88">
        <f>C251*0.34</f>
        <v>3349.136</v>
      </c>
      <c r="E251" s="89">
        <f>C251*0.06</f>
        <v>591.024</v>
      </c>
      <c r="F251" s="89">
        <f>C251*0.6</f>
        <v>5910.24</v>
      </c>
      <c r="G251" s="90" t="s">
        <v>138</v>
      </c>
      <c r="H251" s="83"/>
      <c r="I251" s="98"/>
      <c r="J251" s="102"/>
      <c r="K251" s="85"/>
      <c r="L251" s="86"/>
      <c r="M251" s="99" t="s">
        <v>114</v>
      </c>
    </row>
    <row r="252" spans="1:13" ht="14" x14ac:dyDescent="0.3">
      <c r="A252" s="100">
        <v>30012500007138</v>
      </c>
      <c r="B252" s="101" t="s">
        <v>341</v>
      </c>
      <c r="C252" s="87">
        <v>1812.9099999999999</v>
      </c>
      <c r="D252" s="88">
        <f t="shared" ref="D252:D259" si="69">C252*0.4</f>
        <v>725.16399999999999</v>
      </c>
      <c r="E252" s="89">
        <f t="shared" ref="E252:E259" si="70">C252*0.1</f>
        <v>181.291</v>
      </c>
      <c r="F252" s="89">
        <f t="shared" ref="F252:F259" si="71">C252*0.5</f>
        <v>906.45499999999993</v>
      </c>
      <c r="G252" s="90"/>
      <c r="H252" s="83"/>
      <c r="I252" s="98"/>
      <c r="J252" s="102"/>
      <c r="K252" s="85"/>
      <c r="L252" s="86"/>
      <c r="M252" s="99" t="s">
        <v>114</v>
      </c>
    </row>
    <row r="253" spans="1:13" ht="14" x14ac:dyDescent="0.3">
      <c r="A253" s="100">
        <v>300100200007128</v>
      </c>
      <c r="B253" s="101" t="s">
        <v>340</v>
      </c>
      <c r="C253" s="87">
        <v>25.01</v>
      </c>
      <c r="D253" s="88">
        <f t="shared" si="69"/>
        <v>10.004000000000001</v>
      </c>
      <c r="E253" s="89">
        <f t="shared" si="70"/>
        <v>2.5010000000000003</v>
      </c>
      <c r="F253" s="89">
        <f t="shared" si="71"/>
        <v>12.505000000000001</v>
      </c>
      <c r="G253" s="90"/>
      <c r="H253" s="83"/>
      <c r="I253" s="98"/>
      <c r="J253" s="102"/>
      <c r="K253" s="85"/>
      <c r="L253" s="86"/>
      <c r="M253" s="99" t="s">
        <v>114</v>
      </c>
    </row>
    <row r="254" spans="1:13" ht="14" x14ac:dyDescent="0.3">
      <c r="A254" s="131">
        <v>300097200007097</v>
      </c>
      <c r="B254" s="132" t="s">
        <v>346</v>
      </c>
      <c r="C254" s="87">
        <v>5246.6200000000008</v>
      </c>
      <c r="D254" s="88">
        <f t="shared" si="69"/>
        <v>2098.6480000000006</v>
      </c>
      <c r="E254" s="89">
        <f t="shared" si="70"/>
        <v>524.66200000000015</v>
      </c>
      <c r="F254" s="89">
        <f t="shared" si="71"/>
        <v>2623.3100000000004</v>
      </c>
      <c r="G254" s="90"/>
      <c r="H254" s="83"/>
      <c r="I254" s="98"/>
      <c r="J254" s="102"/>
      <c r="K254" s="85"/>
      <c r="L254" s="86"/>
      <c r="M254" s="99" t="s">
        <v>114</v>
      </c>
    </row>
    <row r="255" spans="1:13" ht="14" x14ac:dyDescent="0.3">
      <c r="A255" s="131">
        <v>300045200007045</v>
      </c>
      <c r="B255" s="132" t="s">
        <v>128</v>
      </c>
      <c r="C255" s="87">
        <v>115</v>
      </c>
      <c r="D255" s="88">
        <f t="shared" si="69"/>
        <v>46</v>
      </c>
      <c r="E255" s="89">
        <f t="shared" si="70"/>
        <v>11.5</v>
      </c>
      <c r="F255" s="89">
        <f t="shared" si="71"/>
        <v>57.5</v>
      </c>
      <c r="G255" s="90"/>
      <c r="H255" s="83"/>
      <c r="I255" s="98"/>
      <c r="J255" s="102"/>
      <c r="K255" s="85"/>
      <c r="L255" s="86"/>
      <c r="M255" s="99" t="s">
        <v>114</v>
      </c>
    </row>
    <row r="256" spans="1:13" ht="14" x14ac:dyDescent="0.3">
      <c r="A256" s="131">
        <v>3000272000007020</v>
      </c>
      <c r="B256" s="132"/>
      <c r="C256" s="87">
        <v>17858.920000000002</v>
      </c>
      <c r="D256" s="88">
        <f t="shared" si="69"/>
        <v>7143.5680000000011</v>
      </c>
      <c r="E256" s="89">
        <f t="shared" si="70"/>
        <v>1785.8920000000003</v>
      </c>
      <c r="F256" s="89">
        <f t="shared" si="71"/>
        <v>8929.4600000000009</v>
      </c>
      <c r="G256" s="90"/>
      <c r="H256" s="83"/>
      <c r="I256" s="98"/>
      <c r="J256" s="102"/>
      <c r="K256" s="85"/>
      <c r="L256" s="86"/>
      <c r="M256" s="99" t="s">
        <v>114</v>
      </c>
    </row>
    <row r="257" spans="1:13" ht="14" x14ac:dyDescent="0.3">
      <c r="A257" s="131">
        <v>30012500007135</v>
      </c>
      <c r="B257" s="132" t="s">
        <v>347</v>
      </c>
      <c r="C257" s="87">
        <v>264914.39</v>
      </c>
      <c r="D257" s="88">
        <f t="shared" si="69"/>
        <v>105965.75600000001</v>
      </c>
      <c r="E257" s="89">
        <f t="shared" si="70"/>
        <v>26491.439000000002</v>
      </c>
      <c r="F257" s="89">
        <f t="shared" si="71"/>
        <v>132457.19500000001</v>
      </c>
      <c r="G257" s="90"/>
      <c r="H257" s="83"/>
      <c r="I257" s="98"/>
      <c r="J257" s="102"/>
      <c r="K257" s="85"/>
      <c r="L257" s="86"/>
      <c r="M257" s="99" t="s">
        <v>114</v>
      </c>
    </row>
    <row r="258" spans="1:13" ht="14" x14ac:dyDescent="0.3">
      <c r="A258" s="131">
        <v>30013400007156</v>
      </c>
      <c r="B258" s="132"/>
      <c r="C258" s="87">
        <v>7941.97</v>
      </c>
      <c r="D258" s="88">
        <f t="shared" si="69"/>
        <v>3176.7880000000005</v>
      </c>
      <c r="E258" s="89">
        <f t="shared" si="70"/>
        <v>794.19700000000012</v>
      </c>
      <c r="F258" s="89">
        <f t="shared" si="71"/>
        <v>3970.9850000000001</v>
      </c>
      <c r="G258" s="90"/>
      <c r="H258" s="83"/>
      <c r="I258" s="98"/>
      <c r="J258" s="102"/>
      <c r="K258" s="85"/>
      <c r="L258" s="86"/>
      <c r="M258" s="99" t="s">
        <v>114</v>
      </c>
    </row>
    <row r="259" spans="1:13" ht="14" x14ac:dyDescent="0.3">
      <c r="A259" s="131">
        <v>30013400007175</v>
      </c>
      <c r="B259" s="132" t="s">
        <v>348</v>
      </c>
      <c r="C259" s="87">
        <v>2.96</v>
      </c>
      <c r="D259" s="88">
        <f t="shared" si="69"/>
        <v>1.1839999999999999</v>
      </c>
      <c r="E259" s="89">
        <f t="shared" si="70"/>
        <v>0.29599999999999999</v>
      </c>
      <c r="F259" s="89">
        <f t="shared" si="71"/>
        <v>1.48</v>
      </c>
      <c r="G259" s="90"/>
      <c r="H259" s="83"/>
      <c r="I259" s="98"/>
      <c r="J259" s="102"/>
      <c r="K259" s="85"/>
      <c r="L259" s="86"/>
      <c r="M259" s="99" t="s">
        <v>114</v>
      </c>
    </row>
    <row r="260" spans="1:13" ht="14" x14ac:dyDescent="0.3">
      <c r="A260" s="131">
        <v>30013400007177</v>
      </c>
      <c r="B260" s="132" t="s">
        <v>349</v>
      </c>
      <c r="C260" s="87">
        <v>16</v>
      </c>
      <c r="D260" s="88"/>
      <c r="E260" s="89"/>
      <c r="F260" s="89">
        <f t="shared" ref="F260:F261" si="72">C260</f>
        <v>16</v>
      </c>
      <c r="G260" s="90" t="s">
        <v>14</v>
      </c>
      <c r="H260" s="83"/>
      <c r="I260" s="98"/>
      <c r="J260" s="102"/>
      <c r="K260" s="85"/>
      <c r="L260" s="86"/>
      <c r="M260" s="99" t="s">
        <v>114</v>
      </c>
    </row>
    <row r="261" spans="1:13" ht="14" x14ac:dyDescent="0.3">
      <c r="A261" s="131">
        <v>30013400007179</v>
      </c>
      <c r="B261" s="132" t="s">
        <v>350</v>
      </c>
      <c r="C261" s="87">
        <v>36882.519999999997</v>
      </c>
      <c r="D261" s="88"/>
      <c r="E261" s="89"/>
      <c r="F261" s="89">
        <f t="shared" si="72"/>
        <v>36882.519999999997</v>
      </c>
      <c r="G261" s="90" t="s">
        <v>14</v>
      </c>
      <c r="H261" s="83"/>
      <c r="I261" s="98"/>
      <c r="J261" s="102"/>
      <c r="K261" s="85"/>
      <c r="L261" s="86"/>
      <c r="M261" s="99" t="s">
        <v>114</v>
      </c>
    </row>
    <row r="262" spans="1:13" ht="14" x14ac:dyDescent="0.3">
      <c r="A262" s="103">
        <v>30012800007149</v>
      </c>
      <c r="B262" s="101" t="s">
        <v>351</v>
      </c>
      <c r="C262" s="87">
        <v>10399.200000000001</v>
      </c>
      <c r="D262" s="88">
        <f t="shared" ref="D262:D263" si="73">C262*0.4</f>
        <v>4159.68</v>
      </c>
      <c r="E262" s="89">
        <f t="shared" ref="E262:E263" si="74">C262*0.1</f>
        <v>1039.92</v>
      </c>
      <c r="F262" s="89">
        <f t="shared" ref="F262:F263" si="75">C262*0.5</f>
        <v>5199.6000000000004</v>
      </c>
      <c r="G262" s="90"/>
      <c r="H262" s="83"/>
      <c r="I262" s="98"/>
      <c r="J262" s="102"/>
      <c r="K262" s="85"/>
      <c r="L262" s="86"/>
      <c r="M262" s="99" t="s">
        <v>114</v>
      </c>
    </row>
    <row r="263" spans="1:13" ht="14" x14ac:dyDescent="0.3">
      <c r="A263" s="103">
        <v>154292000014338</v>
      </c>
      <c r="B263" s="101" t="s">
        <v>358</v>
      </c>
      <c r="C263" s="87">
        <f>VLOOKUP(A263,'[2]MA Payment API '!$A$2:$B$279,2,FALSE)</f>
        <v>50</v>
      </c>
      <c r="D263" s="88">
        <f t="shared" si="73"/>
        <v>20</v>
      </c>
      <c r="E263" s="89">
        <f t="shared" si="74"/>
        <v>5</v>
      </c>
      <c r="F263" s="89">
        <f t="shared" si="75"/>
        <v>25</v>
      </c>
      <c r="G263" s="90"/>
      <c r="H263" s="83"/>
      <c r="I263" s="98"/>
      <c r="J263" s="102"/>
      <c r="K263" s="85"/>
      <c r="L263" s="86"/>
      <c r="M263" s="99"/>
    </row>
    <row r="264" spans="1:13" ht="14" x14ac:dyDescent="0.3">
      <c r="A264" s="103">
        <v>155442000014461</v>
      </c>
      <c r="B264" s="101" t="s">
        <v>21</v>
      </c>
      <c r="C264" s="87">
        <f>VLOOKUP(A264,'[2]MA Payment API '!$A$2:$B$279,2,FALSE)</f>
        <v>100</v>
      </c>
      <c r="D264" s="88">
        <f>C264*0.34</f>
        <v>34</v>
      </c>
      <c r="E264" s="89">
        <f>C264*0.06</f>
        <v>6</v>
      </c>
      <c r="F264" s="89">
        <f>C264*0.6</f>
        <v>60</v>
      </c>
      <c r="G264" s="90" t="s">
        <v>138</v>
      </c>
      <c r="H264" s="83"/>
      <c r="I264" s="98"/>
      <c r="J264" s="102"/>
      <c r="K264" s="85"/>
      <c r="L264" s="86"/>
      <c r="M264" s="99"/>
    </row>
    <row r="265" spans="1:13" ht="14" x14ac:dyDescent="0.3">
      <c r="A265" s="103">
        <v>300020200007020</v>
      </c>
      <c r="B265" s="101" t="s">
        <v>357</v>
      </c>
      <c r="C265" s="87">
        <f>VLOOKUP(A265,'[2]MA Payment API '!$A$2:$B$279,2,FALSE)</f>
        <v>39285.629999999997</v>
      </c>
      <c r="D265" s="88">
        <f t="shared" ref="D265:D272" si="76">C265*0.4</f>
        <v>15714.252</v>
      </c>
      <c r="E265" s="89">
        <f t="shared" ref="E265:E272" si="77">C265*0.1</f>
        <v>3928.5630000000001</v>
      </c>
      <c r="F265" s="89">
        <f t="shared" ref="F265:F272" si="78">C265*0.5</f>
        <v>19642.814999999999</v>
      </c>
      <c r="G265" s="90"/>
      <c r="H265" s="83"/>
      <c r="I265" s="98"/>
      <c r="J265" s="102"/>
      <c r="K265" s="85"/>
      <c r="L265" s="86"/>
      <c r="M265" s="99"/>
    </row>
    <row r="266" spans="1:13" ht="14" x14ac:dyDescent="0.3">
      <c r="A266" s="103">
        <v>300065200007065</v>
      </c>
      <c r="B266" s="101" t="s">
        <v>359</v>
      </c>
      <c r="C266" s="87">
        <f>VLOOKUP(A266,'[2]MA Payment API '!$A$2:$B$279,2,FALSE)</f>
        <v>24.01</v>
      </c>
      <c r="D266" s="88">
        <f t="shared" si="76"/>
        <v>9.604000000000001</v>
      </c>
      <c r="E266" s="89">
        <f t="shared" si="77"/>
        <v>2.4010000000000002</v>
      </c>
      <c r="F266" s="89">
        <f t="shared" si="78"/>
        <v>12.005000000000001</v>
      </c>
      <c r="G266" s="90"/>
      <c r="H266" s="83"/>
      <c r="I266" s="98"/>
      <c r="J266" s="102"/>
      <c r="K266" s="85"/>
      <c r="L266" s="86"/>
      <c r="M266" s="99"/>
    </row>
    <row r="267" spans="1:13" ht="14" x14ac:dyDescent="0.3">
      <c r="A267" s="103">
        <v>300069200007069</v>
      </c>
      <c r="B267" s="101" t="s">
        <v>360</v>
      </c>
      <c r="C267" s="87">
        <f>VLOOKUP(A267,'[2]MA Payment API '!$A$2:$B$279,2,FALSE)</f>
        <v>1358.68</v>
      </c>
      <c r="D267" s="88">
        <f t="shared" si="76"/>
        <v>543.47200000000009</v>
      </c>
      <c r="E267" s="89">
        <f t="shared" si="77"/>
        <v>135.86800000000002</v>
      </c>
      <c r="F267" s="89">
        <f t="shared" si="78"/>
        <v>679.34</v>
      </c>
      <c r="G267" s="90"/>
      <c r="H267" s="83"/>
      <c r="I267" s="98"/>
      <c r="J267" s="102"/>
      <c r="K267" s="85"/>
      <c r="L267" s="86"/>
      <c r="M267" s="99"/>
    </row>
    <row r="268" spans="1:13" ht="14" x14ac:dyDescent="0.3">
      <c r="A268" s="103">
        <v>300087200007088</v>
      </c>
      <c r="B268" s="101" t="s">
        <v>361</v>
      </c>
      <c r="C268" s="87">
        <f>VLOOKUP(A268,'[2]MA Payment API '!$A$2:$B$279,2,FALSE)</f>
        <v>9368.68</v>
      </c>
      <c r="D268" s="88">
        <f t="shared" si="76"/>
        <v>3747.4720000000002</v>
      </c>
      <c r="E268" s="89">
        <f t="shared" si="77"/>
        <v>936.86800000000005</v>
      </c>
      <c r="F268" s="89">
        <f t="shared" si="78"/>
        <v>4684.34</v>
      </c>
      <c r="G268" s="90"/>
      <c r="H268" s="83"/>
      <c r="I268" s="98"/>
      <c r="J268" s="102"/>
      <c r="K268" s="85"/>
      <c r="L268" s="86"/>
      <c r="M268" s="99"/>
    </row>
    <row r="269" spans="1:13" ht="14" x14ac:dyDescent="0.3">
      <c r="A269" s="103">
        <v>300096200007096</v>
      </c>
      <c r="B269" s="101" t="s">
        <v>362</v>
      </c>
      <c r="C269" s="87">
        <f>VLOOKUP(A269,'[2]MA Payment API '!$A$2:$B$279,2,FALSE)</f>
        <v>376.19</v>
      </c>
      <c r="D269" s="88">
        <f t="shared" si="76"/>
        <v>150.476</v>
      </c>
      <c r="E269" s="89">
        <f t="shared" si="77"/>
        <v>37.619</v>
      </c>
      <c r="F269" s="89">
        <f t="shared" si="78"/>
        <v>188.095</v>
      </c>
      <c r="G269" s="90"/>
      <c r="H269" s="83"/>
      <c r="I269" s="98"/>
      <c r="J269" s="102"/>
      <c r="K269" s="85"/>
      <c r="L269" s="86"/>
      <c r="M269" s="99"/>
    </row>
    <row r="270" spans="1:13" ht="14" x14ac:dyDescent="0.3">
      <c r="A270" s="103">
        <v>30013400007166</v>
      </c>
      <c r="B270" s="101" t="s">
        <v>364</v>
      </c>
      <c r="C270" s="87">
        <f>VLOOKUP(A270,'[2]MA Payment API '!$A$2:$B$279,2,FALSE)</f>
        <v>842.42</v>
      </c>
      <c r="D270" s="88">
        <f t="shared" si="76"/>
        <v>336.96800000000002</v>
      </c>
      <c r="E270" s="89">
        <f t="shared" si="77"/>
        <v>84.242000000000004</v>
      </c>
      <c r="F270" s="89">
        <f t="shared" si="78"/>
        <v>421.21</v>
      </c>
      <c r="G270" s="90"/>
      <c r="H270" s="83"/>
      <c r="I270" s="98"/>
      <c r="J270" s="102"/>
      <c r="K270" s="85"/>
      <c r="L270" s="86"/>
      <c r="M270" s="99"/>
    </row>
    <row r="271" spans="1:13" ht="14" x14ac:dyDescent="0.3">
      <c r="A271" s="103">
        <v>30011900007129</v>
      </c>
      <c r="B271" s="101" t="s">
        <v>365</v>
      </c>
      <c r="C271" s="87">
        <f>VLOOKUP(A271,'[2]MA Payment API '!$A$2:$B$279,2,FALSE)</f>
        <v>210.04000000000002</v>
      </c>
      <c r="D271" s="88">
        <f t="shared" si="76"/>
        <v>84.01600000000002</v>
      </c>
      <c r="E271" s="89">
        <f t="shared" si="77"/>
        <v>21.004000000000005</v>
      </c>
      <c r="F271" s="89">
        <f t="shared" si="78"/>
        <v>105.02000000000001</v>
      </c>
      <c r="G271" s="90"/>
      <c r="H271" s="83"/>
      <c r="I271" s="98"/>
      <c r="J271" s="102"/>
      <c r="K271" s="85"/>
      <c r="L271" s="86"/>
      <c r="M271" s="99"/>
    </row>
    <row r="272" spans="1:13" ht="14" x14ac:dyDescent="0.3">
      <c r="A272" s="103">
        <v>300100200007125</v>
      </c>
      <c r="B272" s="101" t="s">
        <v>366</v>
      </c>
      <c r="C272" s="87">
        <f>VLOOKUP(A272,'[2]MA Payment API '!$A$2:$B$279,2,FALSE)</f>
        <v>6</v>
      </c>
      <c r="D272" s="88">
        <f t="shared" si="76"/>
        <v>2.4000000000000004</v>
      </c>
      <c r="E272" s="89">
        <f t="shared" si="77"/>
        <v>0.60000000000000009</v>
      </c>
      <c r="F272" s="89">
        <f t="shared" si="78"/>
        <v>3</v>
      </c>
      <c r="G272" s="90"/>
      <c r="H272" s="83"/>
      <c r="I272" s="98"/>
      <c r="J272" s="102"/>
      <c r="K272" s="85"/>
      <c r="L272" s="86"/>
      <c r="M272" s="99"/>
    </row>
    <row r="273" spans="1:13" ht="14" x14ac:dyDescent="0.3">
      <c r="A273" s="103">
        <v>30013400007196</v>
      </c>
      <c r="B273" s="101" t="s">
        <v>136</v>
      </c>
      <c r="C273" s="152">
        <f>VLOOKUP(A273,'[2]MA Payment API '!$A$2:$B$279,2,FALSE)</f>
        <v>756850.23</v>
      </c>
      <c r="D273" s="88">
        <f>C273*0.24</f>
        <v>181644.0552</v>
      </c>
      <c r="E273" s="89">
        <f>C273*0.06</f>
        <v>45411.013800000001</v>
      </c>
      <c r="F273" s="89">
        <f>C273*0.7</f>
        <v>529795.16099999996</v>
      </c>
      <c r="G273" s="90" t="s">
        <v>135</v>
      </c>
      <c r="H273" s="83"/>
      <c r="I273" s="98"/>
      <c r="J273" s="102"/>
      <c r="K273" s="85"/>
      <c r="L273" s="86"/>
      <c r="M273" s="99"/>
    </row>
    <row r="274" spans="1:13" ht="14" x14ac:dyDescent="0.3">
      <c r="A274" s="103">
        <v>300100200007119</v>
      </c>
      <c r="B274" s="101" t="s">
        <v>21</v>
      </c>
      <c r="C274" s="87">
        <f>VLOOKUP(A274,'[2]MA Payment API '!$A$2:$B$279,2,FALSE)</f>
        <v>1455.12</v>
      </c>
      <c r="D274" s="88">
        <f t="shared" ref="D274:D277" si="79">C274*0.34</f>
        <v>494.74079999999998</v>
      </c>
      <c r="E274" s="89">
        <f t="shared" ref="E274:E277" si="80">C274*0.06</f>
        <v>87.307199999999995</v>
      </c>
      <c r="F274" s="89">
        <f t="shared" ref="F274:F277" si="81">C274*0.6</f>
        <v>873.07199999999989</v>
      </c>
      <c r="G274" s="90" t="s">
        <v>138</v>
      </c>
      <c r="H274" s="83"/>
      <c r="I274" s="98"/>
      <c r="J274" s="102"/>
      <c r="K274" s="85"/>
      <c r="L274" s="86"/>
      <c r="M274" s="99"/>
    </row>
    <row r="275" spans="1:13" ht="14" x14ac:dyDescent="0.3">
      <c r="A275" s="103">
        <v>300100200007120</v>
      </c>
      <c r="B275" s="101" t="s">
        <v>21</v>
      </c>
      <c r="C275" s="87">
        <f>VLOOKUP(A275,'[2]MA Payment API '!$A$2:$B$279,2,FALSE)</f>
        <v>239.98</v>
      </c>
      <c r="D275" s="88">
        <f t="shared" si="79"/>
        <v>81.593199999999996</v>
      </c>
      <c r="E275" s="89">
        <f t="shared" si="80"/>
        <v>14.3988</v>
      </c>
      <c r="F275" s="89">
        <f t="shared" si="81"/>
        <v>143.988</v>
      </c>
      <c r="G275" s="90" t="s">
        <v>138</v>
      </c>
      <c r="H275" s="83"/>
      <c r="I275" s="98"/>
      <c r="J275" s="102"/>
      <c r="K275" s="85"/>
      <c r="L275" s="86"/>
      <c r="M275" s="99"/>
    </row>
    <row r="276" spans="1:13" ht="14" x14ac:dyDescent="0.3">
      <c r="A276" s="103">
        <v>300100200007122</v>
      </c>
      <c r="B276" s="101" t="s">
        <v>21</v>
      </c>
      <c r="C276" s="87">
        <f>VLOOKUP(A276,'[2]MA Payment API '!$A$2:$B$279,2,FALSE)</f>
        <v>100</v>
      </c>
      <c r="D276" s="88">
        <f t="shared" si="79"/>
        <v>34</v>
      </c>
      <c r="E276" s="89">
        <f t="shared" si="80"/>
        <v>6</v>
      </c>
      <c r="F276" s="89">
        <f t="shared" si="81"/>
        <v>60</v>
      </c>
      <c r="G276" s="90" t="s">
        <v>138</v>
      </c>
      <c r="H276" s="83"/>
      <c r="I276" s="98"/>
      <c r="J276" s="102"/>
      <c r="K276" s="85"/>
      <c r="L276" s="86"/>
      <c r="M276" s="99"/>
    </row>
    <row r="277" spans="1:13" ht="14" x14ac:dyDescent="0.3">
      <c r="A277" s="103">
        <v>300100200007123</v>
      </c>
      <c r="B277" s="101" t="s">
        <v>21</v>
      </c>
      <c r="C277" s="87">
        <f>VLOOKUP(A277,'[2]MA Payment API '!$A$2:$B$279,2,FALSE)</f>
        <v>264</v>
      </c>
      <c r="D277" s="88">
        <f t="shared" si="79"/>
        <v>89.76</v>
      </c>
      <c r="E277" s="89">
        <f t="shared" si="80"/>
        <v>15.84</v>
      </c>
      <c r="F277" s="89">
        <f t="shared" si="81"/>
        <v>158.4</v>
      </c>
      <c r="G277" s="90" t="s">
        <v>138</v>
      </c>
      <c r="H277" s="83"/>
      <c r="I277" s="98"/>
      <c r="J277" s="102"/>
      <c r="K277" s="85"/>
      <c r="L277" s="86"/>
      <c r="M277" s="99"/>
    </row>
    <row r="278" spans="1:13" ht="14" x14ac:dyDescent="0.3">
      <c r="A278" s="103">
        <v>30011900007131</v>
      </c>
      <c r="B278" s="101" t="s">
        <v>367</v>
      </c>
      <c r="C278" s="87">
        <f>VLOOKUP(A278,'[2]MA Payment API '!$A$2:$B$279,2,FALSE)</f>
        <v>2323.17</v>
      </c>
      <c r="D278" s="88">
        <f t="shared" ref="D278:D282" si="82">C278*0.4</f>
        <v>929.26800000000003</v>
      </c>
      <c r="E278" s="89">
        <f t="shared" ref="E278:E282" si="83">C278*0.1</f>
        <v>232.31700000000001</v>
      </c>
      <c r="F278" s="89">
        <f t="shared" ref="F278:F282" si="84">C278*0.5</f>
        <v>1161.585</v>
      </c>
      <c r="G278" s="90"/>
      <c r="H278" s="83"/>
      <c r="I278" s="98"/>
      <c r="J278" s="102"/>
      <c r="K278" s="85"/>
      <c r="L278" s="86"/>
      <c r="M278" s="99"/>
    </row>
    <row r="279" spans="1:13" ht="14" x14ac:dyDescent="0.3">
      <c r="A279" s="103">
        <v>30012500007137</v>
      </c>
      <c r="B279" s="101" t="s">
        <v>368</v>
      </c>
      <c r="C279" s="87">
        <f>VLOOKUP(A279,'[2]MA Payment API '!$A$2:$B$279,2,FALSE)</f>
        <v>6813.41</v>
      </c>
      <c r="D279" s="88">
        <f t="shared" si="82"/>
        <v>2725.364</v>
      </c>
      <c r="E279" s="89">
        <f t="shared" si="83"/>
        <v>681.34100000000001</v>
      </c>
      <c r="F279" s="89">
        <f t="shared" si="84"/>
        <v>3406.7049999999999</v>
      </c>
      <c r="G279" s="90"/>
      <c r="H279" s="83"/>
      <c r="I279" s="98"/>
      <c r="J279" s="102"/>
      <c r="K279" s="85"/>
      <c r="L279" s="86"/>
      <c r="M279" s="99"/>
    </row>
    <row r="280" spans="1:13" ht="14" x14ac:dyDescent="0.3">
      <c r="A280" s="103">
        <v>30013400007160</v>
      </c>
      <c r="B280" s="101" t="s">
        <v>369</v>
      </c>
      <c r="C280" s="87">
        <f>VLOOKUP(A280,'[2]MA Payment API '!$A$2:$B$279,2,FALSE)</f>
        <v>4</v>
      </c>
      <c r="D280" s="88">
        <f t="shared" si="82"/>
        <v>1.6</v>
      </c>
      <c r="E280" s="89">
        <f t="shared" si="83"/>
        <v>0.4</v>
      </c>
      <c r="F280" s="89">
        <f t="shared" si="84"/>
        <v>2</v>
      </c>
      <c r="G280" s="90"/>
      <c r="H280" s="83"/>
      <c r="I280" s="98"/>
      <c r="J280" s="102"/>
      <c r="K280" s="85"/>
      <c r="L280" s="86"/>
      <c r="M280" s="99"/>
    </row>
    <row r="281" spans="1:13" ht="14" x14ac:dyDescent="0.3">
      <c r="A281" s="103">
        <v>30013400007171</v>
      </c>
      <c r="B281" s="101" t="s">
        <v>370</v>
      </c>
      <c r="C281" s="87">
        <f>VLOOKUP(A281,'[2]MA Payment API '!$A$2:$B$279,2,FALSE)</f>
        <v>360.18</v>
      </c>
      <c r="D281" s="88">
        <f t="shared" si="82"/>
        <v>144.072</v>
      </c>
      <c r="E281" s="89">
        <f t="shared" si="83"/>
        <v>36.018000000000001</v>
      </c>
      <c r="F281" s="89">
        <f t="shared" si="84"/>
        <v>180.09</v>
      </c>
      <c r="G281" s="90"/>
      <c r="H281" s="83"/>
      <c r="I281" s="98"/>
      <c r="J281" s="102"/>
      <c r="K281" s="85"/>
      <c r="L281" s="86"/>
      <c r="M281" s="99"/>
    </row>
    <row r="282" spans="1:13" ht="14.5" thickBot="1" x14ac:dyDescent="0.35">
      <c r="A282" s="143">
        <v>1541020000142940</v>
      </c>
      <c r="B282" s="144"/>
      <c r="C282" s="145">
        <v>1</v>
      </c>
      <c r="D282" s="88">
        <f t="shared" si="82"/>
        <v>0.4</v>
      </c>
      <c r="E282" s="89">
        <f t="shared" si="83"/>
        <v>0.1</v>
      </c>
      <c r="F282" s="89">
        <f t="shared" si="84"/>
        <v>0.5</v>
      </c>
      <c r="G282" s="146"/>
      <c r="H282" s="83"/>
      <c r="I282" s="98"/>
      <c r="J282" s="147"/>
      <c r="K282" s="148"/>
      <c r="L282" s="149"/>
      <c r="M282" s="150"/>
    </row>
    <row r="283" spans="1:13" ht="16.5" thickTop="1" thickBot="1" x14ac:dyDescent="0.4">
      <c r="A283" s="107"/>
      <c r="B283" s="108" t="s">
        <v>132</v>
      </c>
      <c r="C283" s="151">
        <f>SUM(C5:C281)</f>
        <v>233486296.73999995</v>
      </c>
      <c r="D283" s="91">
        <f>SUM(D5:D281)</f>
        <v>75248947.617479995</v>
      </c>
      <c r="E283" s="92">
        <f>SUM(E5:E281)</f>
        <v>18043101.154319998</v>
      </c>
      <c r="F283" s="109">
        <f>SUM(F5:F281)</f>
        <v>140194247.96820015</v>
      </c>
      <c r="G283" s="110"/>
      <c r="H283" s="111">
        <f>SUM(H5:H281)</f>
        <v>0</v>
      </c>
      <c r="I283" s="112">
        <f>SUM(I5:I281)</f>
        <v>0</v>
      </c>
      <c r="J283" s="113">
        <f>SUM(J5:J281)</f>
        <v>0</v>
      </c>
      <c r="K283" s="114">
        <f>SUM(K5:K281)</f>
        <v>0</v>
      </c>
      <c r="L283" s="115">
        <f>SUM(L5:L281)</f>
        <v>0</v>
      </c>
      <c r="M283" s="116"/>
    </row>
    <row r="284" spans="1:13" ht="12.5" thickTop="1" x14ac:dyDescent="0.3"/>
  </sheetData>
  <autoFilter ref="A4:M283" xr:uid="{00000000-0009-0000-0000-000004000000}"/>
  <mergeCells count="14">
    <mergeCell ref="H3:H4"/>
    <mergeCell ref="I3:I4"/>
    <mergeCell ref="J3:L3"/>
    <mergeCell ref="M3:M4"/>
    <mergeCell ref="A1:A4"/>
    <mergeCell ref="B1:B4"/>
    <mergeCell ref="C1:M1"/>
    <mergeCell ref="C2:C4"/>
    <mergeCell ref="D2:G2"/>
    <mergeCell ref="H2:M2"/>
    <mergeCell ref="D3:D4"/>
    <mergeCell ref="E3:E4"/>
    <mergeCell ref="F3:F4"/>
    <mergeCell ref="G3:G4"/>
  </mergeCells>
  <conditionalFormatting sqref="A1 A5:A1048576">
    <cfRule type="duplicateValues" dxfId="207" priority="8"/>
    <cfRule type="duplicateValues" dxfId="206" priority="9"/>
  </conditionalFormatting>
  <conditionalFormatting sqref="A1">
    <cfRule type="duplicateValues" dxfId="205" priority="45"/>
    <cfRule type="duplicateValues" dxfId="204" priority="46"/>
  </conditionalFormatting>
  <conditionalFormatting sqref="A5:A9">
    <cfRule type="duplicateValues" dxfId="203" priority="10"/>
    <cfRule type="duplicateValues" dxfId="202" priority="11"/>
    <cfRule type="duplicateValues" dxfId="201" priority="12"/>
    <cfRule type="duplicateValues" dxfId="200" priority="13"/>
    <cfRule type="duplicateValues" dxfId="199" priority="14"/>
    <cfRule type="duplicateValues" dxfId="198" priority="15"/>
    <cfRule type="duplicateValues" dxfId="197" priority="16"/>
    <cfRule type="duplicateValues" dxfId="196" priority="17"/>
  </conditionalFormatting>
  <conditionalFormatting sqref="A10:A19">
    <cfRule type="duplicateValues" dxfId="195" priority="27"/>
    <cfRule type="duplicateValues" dxfId="194" priority="31"/>
    <cfRule type="duplicateValues" dxfId="193" priority="32"/>
    <cfRule type="duplicateValues" dxfId="192" priority="33"/>
  </conditionalFormatting>
  <conditionalFormatting sqref="A10:A206">
    <cfRule type="duplicateValues" dxfId="191" priority="187"/>
  </conditionalFormatting>
  <conditionalFormatting sqref="A10:A220">
    <cfRule type="duplicateValues" dxfId="190" priority="216"/>
  </conditionalFormatting>
  <conditionalFormatting sqref="A10:A257">
    <cfRule type="duplicateValues" dxfId="189" priority="218"/>
    <cfRule type="duplicateValues" dxfId="188" priority="219"/>
  </conditionalFormatting>
  <conditionalFormatting sqref="A16">
    <cfRule type="duplicateValues" dxfId="187" priority="22"/>
    <cfRule type="duplicateValues" dxfId="186" priority="23"/>
    <cfRule type="duplicateValues" dxfId="185" priority="24"/>
  </conditionalFormatting>
  <conditionalFormatting sqref="A17:A19">
    <cfRule type="duplicateValues" dxfId="184" priority="25"/>
    <cfRule type="duplicateValues" dxfId="183" priority="26"/>
    <cfRule type="duplicateValues" dxfId="182" priority="28"/>
    <cfRule type="duplicateValues" dxfId="181" priority="29"/>
    <cfRule type="duplicateValues" dxfId="180" priority="30"/>
  </conditionalFormatting>
  <conditionalFormatting sqref="A20:A206">
    <cfRule type="duplicateValues" dxfId="179" priority="192"/>
    <cfRule type="duplicateValues" dxfId="178" priority="193"/>
    <cfRule type="duplicateValues" dxfId="177" priority="191"/>
  </conditionalFormatting>
  <conditionalFormatting sqref="A207">
    <cfRule type="duplicateValues" dxfId="176" priority="18"/>
    <cfRule type="duplicateValues" dxfId="175" priority="21"/>
    <cfRule type="duplicateValues" dxfId="174" priority="20"/>
    <cfRule type="duplicateValues" dxfId="173" priority="19"/>
  </conditionalFormatting>
  <conditionalFormatting sqref="A207:A220">
    <cfRule type="duplicateValues" dxfId="172" priority="207"/>
    <cfRule type="duplicateValues" dxfId="171" priority="208"/>
    <cfRule type="duplicateValues" dxfId="170" priority="209"/>
    <cfRule type="duplicateValues" dxfId="169" priority="210"/>
  </conditionalFormatting>
  <conditionalFormatting sqref="A221:A257">
    <cfRule type="duplicateValues" dxfId="168" priority="131"/>
    <cfRule type="duplicateValues" dxfId="167" priority="133"/>
    <cfRule type="duplicateValues" dxfId="166" priority="134"/>
    <cfRule type="duplicateValues" dxfId="165" priority="135"/>
    <cfRule type="duplicateValues" dxfId="164" priority="132"/>
  </conditionalFormatting>
  <conditionalFormatting sqref="A258:A282">
    <cfRule type="duplicateValues" dxfId="163" priority="122"/>
    <cfRule type="duplicateValues" dxfId="162" priority="123"/>
    <cfRule type="duplicateValues" dxfId="161" priority="124"/>
    <cfRule type="duplicateValues" dxfId="160" priority="125"/>
    <cfRule type="duplicateValues" dxfId="159" priority="126"/>
    <cfRule type="duplicateValues" dxfId="158" priority="127"/>
    <cfRule type="duplicateValues" dxfId="157" priority="121"/>
  </conditionalFormatting>
  <conditionalFormatting sqref="A283">
    <cfRule type="duplicateValues" dxfId="156" priority="44"/>
    <cfRule type="duplicateValues" dxfId="155" priority="42"/>
    <cfRule type="duplicateValues" dxfId="154" priority="43"/>
  </conditionalFormatting>
  <conditionalFormatting sqref="A283:A1048576 A1">
    <cfRule type="duplicateValues" dxfId="153" priority="47"/>
  </conditionalFormatting>
  <conditionalFormatting sqref="C2">
    <cfRule type="duplicateValues" dxfId="152" priority="40"/>
    <cfRule type="duplicateValues" dxfId="151" priority="41"/>
  </conditionalFormatting>
  <conditionalFormatting sqref="M3">
    <cfRule type="duplicateValues" dxfId="150" priority="39"/>
    <cfRule type="duplicateValues" dxfId="149" priority="38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9"/>
  <sheetViews>
    <sheetView workbookViewId="0">
      <selection activeCell="D76" sqref="D76"/>
    </sheetView>
  </sheetViews>
  <sheetFormatPr defaultRowHeight="12" x14ac:dyDescent="0.3"/>
  <cols>
    <col min="1" max="1" width="10.6640625" bestFit="1" customWidth="1"/>
    <col min="2" max="2" width="40.5546875" customWidth="1"/>
    <col min="3" max="3" width="16.21875" bestFit="1" customWidth="1"/>
    <col min="4" max="4" width="17.21875" customWidth="1"/>
    <col min="5" max="5" width="16.77734375" customWidth="1"/>
    <col min="6" max="6" width="19.44140625" customWidth="1"/>
    <col min="7" max="7" width="18.77734375" customWidth="1"/>
    <col min="8" max="8" width="17.77734375" customWidth="1"/>
    <col min="9" max="9" width="17.88671875" customWidth="1"/>
    <col min="10" max="10" width="14.33203125" customWidth="1"/>
  </cols>
  <sheetData>
    <row r="1" spans="1:10" ht="13.5" thickTop="1" x14ac:dyDescent="0.3">
      <c r="A1" s="464" t="s">
        <v>6</v>
      </c>
      <c r="B1" s="500" t="s">
        <v>126</v>
      </c>
      <c r="C1" s="502" t="s">
        <v>371</v>
      </c>
      <c r="D1" s="470" t="s">
        <v>372</v>
      </c>
      <c r="E1" s="474" t="s">
        <v>373</v>
      </c>
      <c r="F1" s="474"/>
      <c r="G1" s="475"/>
      <c r="H1" s="497" t="s">
        <v>374</v>
      </c>
      <c r="I1" s="498"/>
      <c r="J1" s="499"/>
    </row>
    <row r="2" spans="1:10" ht="26.5" thickBot="1" x14ac:dyDescent="0.35">
      <c r="A2" s="466"/>
      <c r="B2" s="501"/>
      <c r="C2" s="503"/>
      <c r="D2" s="472"/>
      <c r="E2" s="153" t="s">
        <v>10</v>
      </c>
      <c r="F2" s="154" t="s">
        <v>11</v>
      </c>
      <c r="G2" s="155" t="s">
        <v>1</v>
      </c>
      <c r="H2" s="156" t="s">
        <v>10</v>
      </c>
      <c r="I2" s="157" t="s">
        <v>11</v>
      </c>
      <c r="J2" s="158" t="s">
        <v>5</v>
      </c>
    </row>
    <row r="3" spans="1:10" ht="15" thickTop="1" x14ac:dyDescent="0.35">
      <c r="A3" s="159">
        <v>2516071</v>
      </c>
      <c r="B3" s="160" t="s">
        <v>84</v>
      </c>
      <c r="C3" s="161" t="s">
        <v>375</v>
      </c>
      <c r="D3" s="162">
        <v>3579.79</v>
      </c>
      <c r="E3" s="163">
        <f>D3*0.3</f>
        <v>1073.9369999999999</v>
      </c>
      <c r="F3" s="164">
        <f>D3*0.7</f>
        <v>2505.8529999999996</v>
      </c>
      <c r="G3" s="165"/>
      <c r="H3" s="166"/>
      <c r="I3" s="167"/>
      <c r="J3" s="168"/>
    </row>
    <row r="4" spans="1:10" ht="14.5" x14ac:dyDescent="0.35">
      <c r="A4" s="169">
        <v>2516091</v>
      </c>
      <c r="B4" s="170" t="s">
        <v>376</v>
      </c>
      <c r="C4" s="171" t="s">
        <v>375</v>
      </c>
      <c r="D4" s="162">
        <v>4601.54</v>
      </c>
      <c r="E4" s="163">
        <f>D4*0.3</f>
        <v>1380.462</v>
      </c>
      <c r="F4" s="164">
        <f>D4*0.7</f>
        <v>3221.078</v>
      </c>
      <c r="G4" s="172"/>
      <c r="H4" s="173"/>
      <c r="I4" s="174"/>
      <c r="J4" s="175"/>
    </row>
    <row r="5" spans="1:10" ht="14.5" x14ac:dyDescent="0.35">
      <c r="A5" s="169">
        <v>2516229</v>
      </c>
      <c r="B5" s="170" t="s">
        <v>377</v>
      </c>
      <c r="C5" s="171" t="s">
        <v>375</v>
      </c>
      <c r="D5" s="162">
        <v>116.06</v>
      </c>
      <c r="E5" s="163">
        <f t="shared" ref="E5:E66" si="0">D5*0.3</f>
        <v>34.817999999999998</v>
      </c>
      <c r="F5" s="164">
        <f t="shared" ref="F5:F66" si="1">D5*0.7</f>
        <v>81.24199999999999</v>
      </c>
      <c r="G5" s="176"/>
      <c r="H5" s="173"/>
      <c r="I5" s="174"/>
      <c r="J5" s="175"/>
    </row>
    <row r="6" spans="1:10" ht="14.5" x14ac:dyDescent="0.35">
      <c r="A6" s="169">
        <v>2516251</v>
      </c>
      <c r="B6" s="170" t="s">
        <v>83</v>
      </c>
      <c r="C6" s="171" t="s">
        <v>375</v>
      </c>
      <c r="D6" s="162">
        <v>3035.52</v>
      </c>
      <c r="E6" s="163">
        <f t="shared" si="0"/>
        <v>910.65599999999995</v>
      </c>
      <c r="F6" s="164">
        <f t="shared" si="1"/>
        <v>2124.864</v>
      </c>
      <c r="G6" s="172"/>
      <c r="H6" s="173"/>
      <c r="I6" s="174"/>
      <c r="J6" s="175"/>
    </row>
    <row r="7" spans="1:10" ht="14.5" x14ac:dyDescent="0.35">
      <c r="A7" s="169">
        <v>2516303</v>
      </c>
      <c r="B7" s="170" t="s">
        <v>378</v>
      </c>
      <c r="C7" s="171" t="s">
        <v>375</v>
      </c>
      <c r="D7" s="162">
        <v>10679.33</v>
      </c>
      <c r="E7" s="163">
        <f>D7*0.35</f>
        <v>3737.7654999999995</v>
      </c>
      <c r="F7" s="164">
        <f>D7*0.65</f>
        <v>6941.5645000000004</v>
      </c>
      <c r="G7" s="172" t="s">
        <v>379</v>
      </c>
      <c r="H7" s="173"/>
      <c r="I7" s="174"/>
      <c r="J7" s="175"/>
    </row>
    <row r="8" spans="1:10" ht="14.5" x14ac:dyDescent="0.35">
      <c r="A8" s="169">
        <v>2516804</v>
      </c>
      <c r="B8" s="170" t="s">
        <v>380</v>
      </c>
      <c r="C8" s="171" t="s">
        <v>375</v>
      </c>
      <c r="D8" s="162">
        <v>21.01</v>
      </c>
      <c r="E8" s="163">
        <f t="shared" si="0"/>
        <v>6.3029999999999999</v>
      </c>
      <c r="F8" s="164">
        <f t="shared" si="1"/>
        <v>14.707000000000001</v>
      </c>
      <c r="G8" s="172"/>
      <c r="H8" s="173"/>
      <c r="I8" s="174"/>
      <c r="J8" s="175"/>
    </row>
    <row r="9" spans="1:10" ht="14.5" x14ac:dyDescent="0.35">
      <c r="A9" s="177">
        <v>2516810</v>
      </c>
      <c r="B9" s="178" t="s">
        <v>381</v>
      </c>
      <c r="C9" s="179" t="s">
        <v>375</v>
      </c>
      <c r="D9" s="162">
        <v>2973.48</v>
      </c>
      <c r="E9" s="163">
        <f t="shared" si="0"/>
        <v>892.04399999999998</v>
      </c>
      <c r="F9" s="164">
        <f t="shared" si="1"/>
        <v>2081.4359999999997</v>
      </c>
      <c r="G9" s="180"/>
      <c r="H9" s="173"/>
      <c r="I9" s="174"/>
      <c r="J9" s="175"/>
    </row>
    <row r="10" spans="1:10" ht="14.5" x14ac:dyDescent="0.35">
      <c r="A10" s="169">
        <v>2516949</v>
      </c>
      <c r="B10" s="170" t="s">
        <v>382</v>
      </c>
      <c r="C10" s="171" t="s">
        <v>375</v>
      </c>
      <c r="D10" s="162">
        <v>22.01</v>
      </c>
      <c r="E10" s="163">
        <f t="shared" si="0"/>
        <v>6.6030000000000006</v>
      </c>
      <c r="F10" s="164">
        <f t="shared" si="1"/>
        <v>15.407</v>
      </c>
      <c r="G10" s="172"/>
      <c r="H10" s="173"/>
      <c r="I10" s="174"/>
      <c r="J10" s="175"/>
    </row>
    <row r="11" spans="1:10" ht="14.5" x14ac:dyDescent="0.35">
      <c r="A11" s="169">
        <v>2517363</v>
      </c>
      <c r="B11" s="170" t="s">
        <v>383</v>
      </c>
      <c r="C11" s="171" t="s">
        <v>375</v>
      </c>
      <c r="D11" s="162">
        <v>132.07</v>
      </c>
      <c r="E11" s="163">
        <f t="shared" si="0"/>
        <v>39.620999999999995</v>
      </c>
      <c r="F11" s="164">
        <f t="shared" si="1"/>
        <v>92.448999999999984</v>
      </c>
      <c r="G11" s="172"/>
      <c r="H11" s="173"/>
      <c r="I11" s="174"/>
      <c r="J11" s="175"/>
    </row>
    <row r="12" spans="1:10" ht="14.5" x14ac:dyDescent="0.35">
      <c r="A12" s="169">
        <v>2517380</v>
      </c>
      <c r="B12" s="170" t="s">
        <v>384</v>
      </c>
      <c r="C12" s="171" t="s">
        <v>375</v>
      </c>
      <c r="D12" s="162">
        <v>807.4</v>
      </c>
      <c r="E12" s="163">
        <f t="shared" si="0"/>
        <v>242.21999999999997</v>
      </c>
      <c r="F12" s="164">
        <f t="shared" si="1"/>
        <v>565.17999999999995</v>
      </c>
      <c r="G12" s="172"/>
      <c r="H12" s="173"/>
      <c r="I12" s="174"/>
      <c r="J12" s="175"/>
    </row>
    <row r="13" spans="1:10" ht="14.5" x14ac:dyDescent="0.35">
      <c r="A13" s="169">
        <v>2517617</v>
      </c>
      <c r="B13" s="170" t="s">
        <v>385</v>
      </c>
      <c r="C13" s="171" t="s">
        <v>375</v>
      </c>
      <c r="D13" s="162">
        <v>3263.32</v>
      </c>
      <c r="E13" s="163">
        <f t="shared" si="0"/>
        <v>978.99599999999998</v>
      </c>
      <c r="F13" s="164">
        <f t="shared" si="1"/>
        <v>2284.3240000000001</v>
      </c>
      <c r="G13" s="172"/>
      <c r="H13" s="173"/>
      <c r="I13" s="174"/>
      <c r="J13" s="175"/>
    </row>
    <row r="14" spans="1:10" ht="14.5" x14ac:dyDescent="0.35">
      <c r="A14" s="169">
        <v>2517656</v>
      </c>
      <c r="B14" s="170" t="s">
        <v>386</v>
      </c>
      <c r="C14" s="171" t="s">
        <v>375</v>
      </c>
      <c r="D14" s="162">
        <v>62.03</v>
      </c>
      <c r="E14" s="163">
        <f t="shared" si="0"/>
        <v>18.608999999999998</v>
      </c>
      <c r="F14" s="164">
        <f t="shared" si="1"/>
        <v>43.420999999999999</v>
      </c>
      <c r="G14" s="172"/>
      <c r="H14" s="173"/>
      <c r="I14" s="174"/>
      <c r="J14" s="175"/>
    </row>
    <row r="15" spans="1:10" ht="14.5" x14ac:dyDescent="0.35">
      <c r="A15" s="177">
        <v>2517797</v>
      </c>
      <c r="B15" s="178" t="s">
        <v>387</v>
      </c>
      <c r="C15" s="179" t="s">
        <v>375</v>
      </c>
      <c r="D15" s="162">
        <v>2997.5</v>
      </c>
      <c r="E15" s="163">
        <f t="shared" si="0"/>
        <v>899.25</v>
      </c>
      <c r="F15" s="164">
        <f t="shared" si="1"/>
        <v>2098.25</v>
      </c>
      <c r="G15" s="180"/>
      <c r="H15" s="173"/>
      <c r="I15" s="174"/>
      <c r="J15" s="175"/>
    </row>
    <row r="16" spans="1:10" ht="14.5" x14ac:dyDescent="0.35">
      <c r="A16" s="169">
        <v>2517877</v>
      </c>
      <c r="B16" s="170" t="s">
        <v>388</v>
      </c>
      <c r="C16" s="171" t="s">
        <v>375</v>
      </c>
      <c r="D16" s="162">
        <v>2649.33</v>
      </c>
      <c r="E16" s="163">
        <f t="shared" si="0"/>
        <v>794.79899999999998</v>
      </c>
      <c r="F16" s="164">
        <f t="shared" si="1"/>
        <v>1854.5309999999997</v>
      </c>
      <c r="G16" s="172"/>
      <c r="H16" s="173"/>
      <c r="I16" s="174"/>
      <c r="J16" s="175"/>
    </row>
    <row r="17" spans="1:10" ht="14.5" x14ac:dyDescent="0.35">
      <c r="A17" s="169">
        <v>2518104</v>
      </c>
      <c r="B17" s="170" t="s">
        <v>389</v>
      </c>
      <c r="C17" s="171" t="s">
        <v>375</v>
      </c>
      <c r="D17" s="162">
        <v>1854.99</v>
      </c>
      <c r="E17" s="163">
        <f t="shared" si="0"/>
        <v>556.49699999999996</v>
      </c>
      <c r="F17" s="164">
        <f t="shared" si="1"/>
        <v>1298.4929999999999</v>
      </c>
      <c r="G17" s="172"/>
      <c r="H17" s="173"/>
      <c r="I17" s="174"/>
      <c r="J17" s="175"/>
    </row>
    <row r="18" spans="1:10" ht="14.5" x14ac:dyDescent="0.35">
      <c r="A18" s="169">
        <v>2518123</v>
      </c>
      <c r="B18" s="170" t="s">
        <v>390</v>
      </c>
      <c r="C18" s="171" t="s">
        <v>375</v>
      </c>
      <c r="D18" s="162">
        <v>554126.55000000005</v>
      </c>
      <c r="E18" s="163">
        <f t="shared" si="0"/>
        <v>166237.965</v>
      </c>
      <c r="F18" s="164">
        <f t="shared" si="1"/>
        <v>387888.58500000002</v>
      </c>
      <c r="G18" s="172"/>
      <c r="H18" s="173"/>
      <c r="I18" s="174"/>
      <c r="J18" s="175"/>
    </row>
    <row r="19" spans="1:10" ht="14.5" x14ac:dyDescent="0.35">
      <c r="A19" s="169">
        <v>2518184</v>
      </c>
      <c r="B19" s="170" t="s">
        <v>391</v>
      </c>
      <c r="C19" s="171" t="s">
        <v>375</v>
      </c>
      <c r="D19" s="162">
        <v>2517.2600000000002</v>
      </c>
      <c r="E19" s="163">
        <f t="shared" si="0"/>
        <v>755.178</v>
      </c>
      <c r="F19" s="164">
        <f t="shared" si="1"/>
        <v>1762.0820000000001</v>
      </c>
      <c r="G19" s="172"/>
      <c r="H19" s="173"/>
      <c r="I19" s="174"/>
      <c r="J19" s="175"/>
    </row>
    <row r="20" spans="1:10" ht="14.5" x14ac:dyDescent="0.35">
      <c r="A20" s="169">
        <v>2518215</v>
      </c>
      <c r="B20" s="170" t="s">
        <v>392</v>
      </c>
      <c r="C20" s="171" t="s">
        <v>375</v>
      </c>
      <c r="D20" s="162">
        <v>57.16</v>
      </c>
      <c r="E20" s="163">
        <f t="shared" si="0"/>
        <v>17.148</v>
      </c>
      <c r="F20" s="164">
        <f t="shared" si="1"/>
        <v>40.011999999999993</v>
      </c>
      <c r="G20" s="172"/>
      <c r="H20" s="173"/>
      <c r="I20" s="174"/>
      <c r="J20" s="175"/>
    </row>
    <row r="21" spans="1:10" ht="14.5" x14ac:dyDescent="0.35">
      <c r="A21" s="169">
        <v>2518234</v>
      </c>
      <c r="B21" s="170" t="s">
        <v>393</v>
      </c>
      <c r="C21" s="171" t="s">
        <v>375</v>
      </c>
      <c r="D21" s="162">
        <v>2565.2800000000002</v>
      </c>
      <c r="E21" s="163">
        <f t="shared" si="0"/>
        <v>769.58400000000006</v>
      </c>
      <c r="F21" s="164">
        <f t="shared" si="1"/>
        <v>1795.6959999999999</v>
      </c>
      <c r="G21" s="172"/>
      <c r="H21" s="173"/>
      <c r="I21" s="174"/>
      <c r="J21" s="175"/>
    </row>
    <row r="22" spans="1:10" ht="14.5" x14ac:dyDescent="0.35">
      <c r="A22" s="169">
        <v>2518293</v>
      </c>
      <c r="B22" s="170" t="s">
        <v>394</v>
      </c>
      <c r="C22" s="171" t="s">
        <v>375</v>
      </c>
      <c r="D22" s="162">
        <v>279.14</v>
      </c>
      <c r="E22" s="163">
        <f t="shared" si="0"/>
        <v>83.74199999999999</v>
      </c>
      <c r="F22" s="164">
        <f t="shared" si="1"/>
        <v>195.39799999999997</v>
      </c>
      <c r="G22" s="172"/>
      <c r="H22" s="173"/>
      <c r="I22" s="174"/>
      <c r="J22" s="175"/>
    </row>
    <row r="23" spans="1:10" ht="14.5" x14ac:dyDescent="0.35">
      <c r="A23" s="169">
        <v>2518337</v>
      </c>
      <c r="B23" s="170" t="s">
        <v>395</v>
      </c>
      <c r="C23" s="171" t="s">
        <v>375</v>
      </c>
      <c r="D23" s="162">
        <v>15123.27</v>
      </c>
      <c r="E23" s="163">
        <f t="shared" si="0"/>
        <v>4536.9809999999998</v>
      </c>
      <c r="F23" s="164">
        <f t="shared" si="1"/>
        <v>10586.288999999999</v>
      </c>
      <c r="G23" s="172"/>
      <c r="H23" s="173"/>
      <c r="I23" s="174"/>
      <c r="J23" s="175"/>
    </row>
    <row r="24" spans="1:10" ht="14.5" x14ac:dyDescent="0.35">
      <c r="A24" s="169">
        <v>2518340</v>
      </c>
      <c r="B24" s="170" t="s">
        <v>396</v>
      </c>
      <c r="C24" s="171" t="s">
        <v>375</v>
      </c>
      <c r="D24" s="162">
        <v>5672.83</v>
      </c>
      <c r="E24" s="163">
        <f t="shared" si="0"/>
        <v>1701.8489999999999</v>
      </c>
      <c r="F24" s="164">
        <f t="shared" si="1"/>
        <v>3970.9809999999998</v>
      </c>
      <c r="G24" s="172"/>
      <c r="H24" s="173"/>
      <c r="I24" s="174"/>
      <c r="J24" s="175"/>
    </row>
    <row r="25" spans="1:10" ht="14.5" x14ac:dyDescent="0.35">
      <c r="A25" s="169">
        <v>2518409</v>
      </c>
      <c r="B25" s="170" t="s">
        <v>397</v>
      </c>
      <c r="C25" s="171" t="s">
        <v>375</v>
      </c>
      <c r="D25" s="162">
        <v>12</v>
      </c>
      <c r="E25" s="163">
        <f t="shared" si="0"/>
        <v>3.5999999999999996</v>
      </c>
      <c r="F25" s="164">
        <f t="shared" si="1"/>
        <v>8.3999999999999986</v>
      </c>
      <c r="G25" s="172"/>
      <c r="H25" s="173"/>
      <c r="I25" s="174"/>
      <c r="J25" s="175"/>
    </row>
    <row r="26" spans="1:10" ht="14.5" x14ac:dyDescent="0.35">
      <c r="A26" s="169">
        <v>2518550</v>
      </c>
      <c r="B26" s="170" t="s">
        <v>69</v>
      </c>
      <c r="C26" s="171" t="s">
        <v>375</v>
      </c>
      <c r="D26" s="162">
        <v>366.19</v>
      </c>
      <c r="E26" s="163">
        <f t="shared" si="0"/>
        <v>109.857</v>
      </c>
      <c r="F26" s="164">
        <f t="shared" si="1"/>
        <v>256.33299999999997</v>
      </c>
      <c r="G26" s="172"/>
      <c r="H26" s="173"/>
      <c r="I26" s="174"/>
      <c r="J26" s="175"/>
    </row>
    <row r="27" spans="1:10" ht="14.5" x14ac:dyDescent="0.35">
      <c r="A27" s="169">
        <v>2518840</v>
      </c>
      <c r="B27" s="170" t="s">
        <v>398</v>
      </c>
      <c r="C27" s="171" t="s">
        <v>375</v>
      </c>
      <c r="D27" s="162">
        <v>1444.72</v>
      </c>
      <c r="E27" s="163">
        <f t="shared" si="0"/>
        <v>433.416</v>
      </c>
      <c r="F27" s="164">
        <f t="shared" si="1"/>
        <v>1011.304</v>
      </c>
      <c r="G27" s="172"/>
      <c r="H27" s="173"/>
      <c r="I27" s="174"/>
      <c r="J27" s="175"/>
    </row>
    <row r="28" spans="1:10" ht="14.5" x14ac:dyDescent="0.35">
      <c r="A28" s="169">
        <v>2518841</v>
      </c>
      <c r="B28" s="170" t="s">
        <v>399</v>
      </c>
      <c r="C28" s="171" t="s">
        <v>375</v>
      </c>
      <c r="D28" s="162">
        <v>10.01</v>
      </c>
      <c r="E28" s="163">
        <f t="shared" si="0"/>
        <v>3.0029999999999997</v>
      </c>
      <c r="F28" s="164">
        <f t="shared" si="1"/>
        <v>7.0069999999999997</v>
      </c>
      <c r="G28" s="172"/>
      <c r="H28" s="173"/>
      <c r="I28" s="174"/>
      <c r="J28" s="175"/>
    </row>
    <row r="29" spans="1:10" ht="14.5" x14ac:dyDescent="0.35">
      <c r="A29" s="169">
        <v>2518860</v>
      </c>
      <c r="B29" s="170" t="s">
        <v>400</v>
      </c>
      <c r="C29" s="171" t="s">
        <v>375</v>
      </c>
      <c r="D29" s="162">
        <v>46</v>
      </c>
      <c r="E29" s="163">
        <f t="shared" si="0"/>
        <v>13.799999999999999</v>
      </c>
      <c r="F29" s="164">
        <f t="shared" si="1"/>
        <v>32.199999999999996</v>
      </c>
      <c r="G29" s="172"/>
      <c r="H29" s="173"/>
      <c r="I29" s="174"/>
      <c r="J29" s="175"/>
    </row>
    <row r="30" spans="1:10" ht="14.5" x14ac:dyDescent="0.35">
      <c r="A30" s="169">
        <v>2519133</v>
      </c>
      <c r="B30" s="170" t="s">
        <v>401</v>
      </c>
      <c r="C30" s="171" t="s">
        <v>375</v>
      </c>
      <c r="D30" s="162">
        <v>11241.56</v>
      </c>
      <c r="E30" s="163">
        <f t="shared" si="0"/>
        <v>3372.4679999999998</v>
      </c>
      <c r="F30" s="164">
        <f t="shared" si="1"/>
        <v>7869.0919999999987</v>
      </c>
      <c r="G30" s="172"/>
      <c r="H30" s="173"/>
      <c r="I30" s="174"/>
      <c r="J30" s="175"/>
    </row>
    <row r="31" spans="1:10" ht="14.5" x14ac:dyDescent="0.35">
      <c r="A31" s="169">
        <v>2519175</v>
      </c>
      <c r="B31" s="170" t="s">
        <v>402</v>
      </c>
      <c r="C31" s="171" t="s">
        <v>375</v>
      </c>
      <c r="D31" s="162">
        <v>285.14</v>
      </c>
      <c r="E31" s="163">
        <f t="shared" si="0"/>
        <v>85.541999999999987</v>
      </c>
      <c r="F31" s="164">
        <f t="shared" si="1"/>
        <v>199.59799999999998</v>
      </c>
      <c r="G31" s="172"/>
      <c r="H31" s="173"/>
      <c r="I31" s="174"/>
      <c r="J31" s="175"/>
    </row>
    <row r="32" spans="1:10" ht="14.5" x14ac:dyDescent="0.35">
      <c r="A32" s="169">
        <v>2519360</v>
      </c>
      <c r="B32" s="170" t="s">
        <v>403</v>
      </c>
      <c r="C32" s="171" t="s">
        <v>375</v>
      </c>
      <c r="D32" s="162">
        <v>8340.16</v>
      </c>
      <c r="E32" s="163">
        <f t="shared" si="0"/>
        <v>2502.0479999999998</v>
      </c>
      <c r="F32" s="164">
        <f t="shared" si="1"/>
        <v>5838.1119999999992</v>
      </c>
      <c r="G32" s="172"/>
      <c r="H32" s="173"/>
      <c r="I32" s="174"/>
      <c r="J32" s="175"/>
    </row>
    <row r="33" spans="1:10" ht="14.5" x14ac:dyDescent="0.35">
      <c r="A33" s="169">
        <v>2519394</v>
      </c>
      <c r="B33" s="170" t="s">
        <v>404</v>
      </c>
      <c r="C33" s="171" t="s">
        <v>375</v>
      </c>
      <c r="D33" s="162">
        <v>5565.47</v>
      </c>
      <c r="E33" s="163">
        <f t="shared" si="0"/>
        <v>1669.6410000000001</v>
      </c>
      <c r="F33" s="164">
        <f t="shared" si="1"/>
        <v>3895.8289999999997</v>
      </c>
      <c r="G33" s="172"/>
      <c r="H33" s="173"/>
      <c r="I33" s="174"/>
      <c r="J33" s="175"/>
    </row>
    <row r="34" spans="1:10" ht="14.5" x14ac:dyDescent="0.35">
      <c r="A34" s="169">
        <v>2519421</v>
      </c>
      <c r="B34" s="170" t="s">
        <v>405</v>
      </c>
      <c r="C34" s="171" t="s">
        <v>375</v>
      </c>
      <c r="D34" s="162">
        <v>137.07</v>
      </c>
      <c r="E34" s="163">
        <f t="shared" si="0"/>
        <v>41.120999999999995</v>
      </c>
      <c r="F34" s="164">
        <f t="shared" si="1"/>
        <v>95.948999999999984</v>
      </c>
      <c r="G34" s="172"/>
      <c r="H34" s="173"/>
      <c r="I34" s="174"/>
      <c r="J34" s="175"/>
    </row>
    <row r="35" spans="1:10" ht="14.5" x14ac:dyDescent="0.35">
      <c r="A35" s="169">
        <v>2519439</v>
      </c>
      <c r="B35" s="170" t="s">
        <v>406</v>
      </c>
      <c r="C35" s="171" t="s">
        <v>375</v>
      </c>
      <c r="D35" s="162">
        <v>13983.99</v>
      </c>
      <c r="E35" s="163">
        <f t="shared" si="0"/>
        <v>4195.1970000000001</v>
      </c>
      <c r="F35" s="164">
        <f t="shared" si="1"/>
        <v>9788.7929999999997</v>
      </c>
      <c r="G35" s="172"/>
      <c r="H35" s="173"/>
      <c r="I35" s="174"/>
      <c r="J35" s="175"/>
    </row>
    <row r="36" spans="1:10" ht="14.5" x14ac:dyDescent="0.35">
      <c r="A36" s="169">
        <v>2519445</v>
      </c>
      <c r="B36" s="170" t="s">
        <v>407</v>
      </c>
      <c r="C36" s="171" t="s">
        <v>375</v>
      </c>
      <c r="D36" s="162">
        <v>5816.83</v>
      </c>
      <c r="E36" s="163">
        <f t="shared" si="0"/>
        <v>1745.049</v>
      </c>
      <c r="F36" s="164">
        <f t="shared" si="1"/>
        <v>4071.7809999999995</v>
      </c>
      <c r="G36" s="172"/>
      <c r="H36" s="173"/>
      <c r="I36" s="174"/>
      <c r="J36" s="175"/>
    </row>
    <row r="37" spans="1:10" ht="14.5" x14ac:dyDescent="0.35">
      <c r="A37" s="169">
        <v>2519476</v>
      </c>
      <c r="B37" s="170" t="s">
        <v>408</v>
      </c>
      <c r="C37" s="171" t="s">
        <v>375</v>
      </c>
      <c r="D37" s="162">
        <v>79.040000000000006</v>
      </c>
      <c r="E37" s="163">
        <f t="shared" si="0"/>
        <v>23.712</v>
      </c>
      <c r="F37" s="164">
        <f t="shared" si="1"/>
        <v>55.328000000000003</v>
      </c>
      <c r="G37" s="172"/>
      <c r="H37" s="173"/>
      <c r="I37" s="174"/>
      <c r="J37" s="175"/>
    </row>
    <row r="38" spans="1:10" ht="14.5" x14ac:dyDescent="0.35">
      <c r="A38" s="169">
        <v>2519505</v>
      </c>
      <c r="B38" s="170" t="s">
        <v>409</v>
      </c>
      <c r="C38" s="171" t="s">
        <v>375</v>
      </c>
      <c r="D38" s="162">
        <v>48.03</v>
      </c>
      <c r="E38" s="163">
        <f t="shared" si="0"/>
        <v>14.408999999999999</v>
      </c>
      <c r="F38" s="164">
        <f t="shared" si="1"/>
        <v>33.620999999999995</v>
      </c>
      <c r="G38" s="172"/>
      <c r="H38" s="173"/>
      <c r="I38" s="174"/>
      <c r="J38" s="175"/>
    </row>
    <row r="39" spans="1:10" ht="14.5" x14ac:dyDescent="0.35">
      <c r="A39" s="169">
        <v>2519527</v>
      </c>
      <c r="B39" s="170" t="s">
        <v>410</v>
      </c>
      <c r="C39" s="171" t="s">
        <v>375</v>
      </c>
      <c r="D39" s="162">
        <v>58.03</v>
      </c>
      <c r="E39" s="163">
        <f t="shared" si="0"/>
        <v>17.408999999999999</v>
      </c>
      <c r="F39" s="164">
        <f t="shared" si="1"/>
        <v>40.620999999999995</v>
      </c>
      <c r="G39" s="172"/>
      <c r="H39" s="173"/>
      <c r="I39" s="174"/>
      <c r="J39" s="175"/>
    </row>
    <row r="40" spans="1:10" ht="14.5" x14ac:dyDescent="0.35">
      <c r="A40" s="169">
        <v>2519557</v>
      </c>
      <c r="B40" s="170" t="s">
        <v>356</v>
      </c>
      <c r="C40" s="171" t="s">
        <v>375</v>
      </c>
      <c r="D40" s="162">
        <v>13703.73</v>
      </c>
      <c r="E40" s="163">
        <f t="shared" si="0"/>
        <v>4111.1189999999997</v>
      </c>
      <c r="F40" s="164">
        <f t="shared" si="1"/>
        <v>9592.610999999999</v>
      </c>
      <c r="G40" s="172"/>
      <c r="H40" s="173"/>
      <c r="I40" s="174"/>
      <c r="J40" s="175"/>
    </row>
    <row r="41" spans="1:10" ht="14.5" x14ac:dyDescent="0.35">
      <c r="A41" s="169">
        <v>2519717</v>
      </c>
      <c r="B41" s="170" t="s">
        <v>411</v>
      </c>
      <c r="C41" s="171" t="s">
        <v>375</v>
      </c>
      <c r="D41" s="162">
        <v>48.03</v>
      </c>
      <c r="E41" s="163">
        <f t="shared" si="0"/>
        <v>14.408999999999999</v>
      </c>
      <c r="F41" s="164">
        <f t="shared" si="1"/>
        <v>33.620999999999995</v>
      </c>
      <c r="G41" s="172"/>
      <c r="H41" s="173"/>
      <c r="I41" s="174"/>
      <c r="J41" s="175"/>
    </row>
    <row r="42" spans="1:10" ht="14.5" x14ac:dyDescent="0.35">
      <c r="A42" s="169">
        <v>2519737</v>
      </c>
      <c r="B42" s="170" t="s">
        <v>412</v>
      </c>
      <c r="C42" s="171" t="s">
        <v>375</v>
      </c>
      <c r="D42" s="162">
        <v>894.45</v>
      </c>
      <c r="E42" s="163">
        <f t="shared" si="0"/>
        <v>268.33499999999998</v>
      </c>
      <c r="F42" s="164">
        <f t="shared" si="1"/>
        <v>626.11500000000001</v>
      </c>
      <c r="G42" s="172"/>
      <c r="H42" s="173"/>
      <c r="I42" s="174"/>
      <c r="J42" s="175"/>
    </row>
    <row r="43" spans="1:10" ht="14.5" x14ac:dyDescent="0.35">
      <c r="A43" s="169">
        <v>2519755</v>
      </c>
      <c r="B43" s="170" t="s">
        <v>413</v>
      </c>
      <c r="C43" s="171" t="s">
        <v>375</v>
      </c>
      <c r="D43" s="162">
        <v>40.020000000000003</v>
      </c>
      <c r="E43" s="163">
        <f t="shared" si="0"/>
        <v>12.006</v>
      </c>
      <c r="F43" s="164">
        <f t="shared" si="1"/>
        <v>28.013999999999999</v>
      </c>
      <c r="G43" s="172"/>
      <c r="H43" s="173"/>
      <c r="I43" s="174"/>
      <c r="J43" s="175"/>
    </row>
    <row r="44" spans="1:10" ht="14.5" x14ac:dyDescent="0.35">
      <c r="A44" s="169">
        <v>2519780</v>
      </c>
      <c r="B44" s="170" t="s">
        <v>414</v>
      </c>
      <c r="C44" s="171" t="s">
        <v>375</v>
      </c>
      <c r="D44" s="162">
        <v>204.1</v>
      </c>
      <c r="E44" s="163">
        <f t="shared" si="0"/>
        <v>61.23</v>
      </c>
      <c r="F44" s="164">
        <f t="shared" si="1"/>
        <v>142.86999999999998</v>
      </c>
      <c r="G44" s="172"/>
      <c r="H44" s="173"/>
      <c r="I44" s="174"/>
      <c r="J44" s="175"/>
    </row>
    <row r="45" spans="1:10" ht="14.5" x14ac:dyDescent="0.35">
      <c r="A45" s="169">
        <v>2519793</v>
      </c>
      <c r="B45" s="170" t="s">
        <v>415</v>
      </c>
      <c r="C45" s="171" t="s">
        <v>375</v>
      </c>
      <c r="D45" s="162">
        <v>87.04</v>
      </c>
      <c r="E45" s="163">
        <f t="shared" si="0"/>
        <v>26.112000000000002</v>
      </c>
      <c r="F45" s="164">
        <f t="shared" si="1"/>
        <v>60.927999999999997</v>
      </c>
      <c r="G45" s="172"/>
      <c r="H45" s="173"/>
      <c r="I45" s="174"/>
      <c r="J45" s="175"/>
    </row>
    <row r="46" spans="1:10" ht="14.5" x14ac:dyDescent="0.35">
      <c r="A46" s="169">
        <v>2519828</v>
      </c>
      <c r="B46" s="170" t="s">
        <v>416</v>
      </c>
      <c r="C46" s="171" t="s">
        <v>375</v>
      </c>
      <c r="D46" s="162">
        <v>319.16000000000003</v>
      </c>
      <c r="E46" s="163">
        <f t="shared" si="0"/>
        <v>95.748000000000005</v>
      </c>
      <c r="F46" s="164">
        <f t="shared" si="1"/>
        <v>223.41200000000001</v>
      </c>
      <c r="G46" s="172"/>
      <c r="H46" s="173"/>
      <c r="I46" s="174"/>
      <c r="J46" s="175"/>
    </row>
    <row r="47" spans="1:10" ht="14.5" x14ac:dyDescent="0.35">
      <c r="A47" s="169">
        <v>2519870</v>
      </c>
      <c r="B47" s="170" t="s">
        <v>417</v>
      </c>
      <c r="C47" s="171" t="s">
        <v>375</v>
      </c>
      <c r="D47" s="162">
        <v>338.17</v>
      </c>
      <c r="E47" s="163">
        <f t="shared" si="0"/>
        <v>101.45100000000001</v>
      </c>
      <c r="F47" s="164">
        <f t="shared" si="1"/>
        <v>236.71899999999999</v>
      </c>
      <c r="G47" s="172"/>
      <c r="H47" s="173"/>
      <c r="I47" s="174"/>
      <c r="J47" s="175"/>
    </row>
    <row r="48" spans="1:10" ht="14.5" x14ac:dyDescent="0.35">
      <c r="A48" s="169">
        <v>2519904</v>
      </c>
      <c r="B48" s="170" t="s">
        <v>418</v>
      </c>
      <c r="C48" s="171" t="s">
        <v>375</v>
      </c>
      <c r="D48" s="162">
        <v>874.94</v>
      </c>
      <c r="E48" s="163">
        <f t="shared" si="0"/>
        <v>262.48200000000003</v>
      </c>
      <c r="F48" s="164">
        <f t="shared" si="1"/>
        <v>612.45799999999997</v>
      </c>
      <c r="G48" s="172"/>
      <c r="H48" s="173"/>
      <c r="I48" s="174"/>
      <c r="J48" s="175"/>
    </row>
    <row r="49" spans="1:10" ht="14.5" x14ac:dyDescent="0.35">
      <c r="A49" s="169">
        <v>2518626</v>
      </c>
      <c r="B49" s="170" t="s">
        <v>419</v>
      </c>
      <c r="C49" s="171" t="s">
        <v>375</v>
      </c>
      <c r="D49" s="162">
        <v>429.21</v>
      </c>
      <c r="E49" s="163">
        <f t="shared" si="0"/>
        <v>128.76299999999998</v>
      </c>
      <c r="F49" s="164">
        <f t="shared" si="1"/>
        <v>300.44699999999995</v>
      </c>
      <c r="G49" s="172"/>
      <c r="H49" s="173"/>
      <c r="I49" s="174"/>
      <c r="J49" s="175"/>
    </row>
    <row r="50" spans="1:10" ht="14.5" x14ac:dyDescent="0.35">
      <c r="A50" s="177">
        <v>2519137</v>
      </c>
      <c r="B50" s="178" t="s">
        <v>420</v>
      </c>
      <c r="C50" s="171" t="s">
        <v>375</v>
      </c>
      <c r="D50" s="162">
        <v>2092.38</v>
      </c>
      <c r="E50" s="163">
        <f t="shared" si="0"/>
        <v>627.71400000000006</v>
      </c>
      <c r="F50" s="164">
        <f t="shared" si="1"/>
        <v>1464.6659999999999</v>
      </c>
      <c r="G50" s="172"/>
      <c r="H50" s="173"/>
      <c r="I50" s="174"/>
      <c r="J50" s="175"/>
    </row>
    <row r="51" spans="1:10" ht="14.5" x14ac:dyDescent="0.35">
      <c r="A51" s="177">
        <v>2519596</v>
      </c>
      <c r="B51" s="178" t="s">
        <v>421</v>
      </c>
      <c r="C51" s="171" t="s">
        <v>375</v>
      </c>
      <c r="D51" s="162">
        <v>2705.35</v>
      </c>
      <c r="E51" s="163">
        <f t="shared" si="0"/>
        <v>811.6049999999999</v>
      </c>
      <c r="F51" s="164">
        <f t="shared" si="1"/>
        <v>1893.7449999999999</v>
      </c>
      <c r="G51" s="172"/>
      <c r="H51" s="173"/>
      <c r="I51" s="174"/>
      <c r="J51" s="175"/>
    </row>
    <row r="52" spans="1:10" ht="14.5" x14ac:dyDescent="0.35">
      <c r="A52" s="177">
        <v>2519656</v>
      </c>
      <c r="B52" s="178" t="s">
        <v>422</v>
      </c>
      <c r="C52" s="171" t="s">
        <v>375</v>
      </c>
      <c r="D52" s="162">
        <v>40.020000000000003</v>
      </c>
      <c r="E52" s="163">
        <f t="shared" si="0"/>
        <v>12.006</v>
      </c>
      <c r="F52" s="164">
        <f t="shared" si="1"/>
        <v>28.013999999999999</v>
      </c>
      <c r="G52" s="172"/>
      <c r="H52" s="173"/>
      <c r="I52" s="174"/>
      <c r="J52" s="175"/>
    </row>
    <row r="53" spans="1:10" ht="14.5" x14ac:dyDescent="0.35">
      <c r="A53" s="177">
        <v>2518885</v>
      </c>
      <c r="B53" s="178" t="s">
        <v>423</v>
      </c>
      <c r="C53" s="171" t="s">
        <v>375</v>
      </c>
      <c r="D53" s="162">
        <v>594.29999999999995</v>
      </c>
      <c r="E53" s="163">
        <f t="shared" si="0"/>
        <v>178.29</v>
      </c>
      <c r="F53" s="164">
        <f t="shared" si="1"/>
        <v>416.00999999999993</v>
      </c>
      <c r="G53" s="172"/>
      <c r="H53" s="173"/>
      <c r="I53" s="174"/>
      <c r="J53" s="175"/>
    </row>
    <row r="54" spans="1:10" ht="14.5" x14ac:dyDescent="0.35">
      <c r="A54" s="177">
        <v>2517823</v>
      </c>
      <c r="B54" s="178" t="s">
        <v>424</v>
      </c>
      <c r="C54" s="171" t="s">
        <v>375</v>
      </c>
      <c r="D54" s="162">
        <v>204.1</v>
      </c>
      <c r="E54" s="163">
        <f t="shared" si="0"/>
        <v>61.23</v>
      </c>
      <c r="F54" s="164">
        <f t="shared" si="1"/>
        <v>142.86999999999998</v>
      </c>
      <c r="G54" s="172"/>
      <c r="H54" s="173"/>
      <c r="I54" s="174"/>
      <c r="J54" s="175"/>
    </row>
    <row r="55" spans="1:10" ht="14.5" x14ac:dyDescent="0.35">
      <c r="A55" s="177">
        <v>2519390</v>
      </c>
      <c r="B55" s="178" t="s">
        <v>425</v>
      </c>
      <c r="C55" s="171" t="s">
        <v>375</v>
      </c>
      <c r="D55" s="162">
        <v>164.58</v>
      </c>
      <c r="E55" s="163">
        <f t="shared" si="0"/>
        <v>49.374000000000002</v>
      </c>
      <c r="F55" s="164">
        <f t="shared" si="1"/>
        <v>115.206</v>
      </c>
      <c r="G55" s="172"/>
      <c r="H55" s="173"/>
      <c r="I55" s="174"/>
      <c r="J55" s="175"/>
    </row>
    <row r="56" spans="1:10" ht="14.5" x14ac:dyDescent="0.35">
      <c r="A56" s="177">
        <v>2519998</v>
      </c>
      <c r="B56" s="178" t="s">
        <v>426</v>
      </c>
      <c r="C56" s="171" t="s">
        <v>375</v>
      </c>
      <c r="D56" s="162">
        <v>1437.72</v>
      </c>
      <c r="E56" s="163">
        <f t="shared" si="0"/>
        <v>431.31599999999997</v>
      </c>
      <c r="F56" s="164">
        <f t="shared" si="1"/>
        <v>1006.404</v>
      </c>
      <c r="G56" s="172"/>
      <c r="H56" s="173"/>
      <c r="I56" s="174"/>
      <c r="J56" s="175"/>
    </row>
    <row r="57" spans="1:10" ht="14.5" x14ac:dyDescent="0.35">
      <c r="A57" s="177">
        <v>2518035</v>
      </c>
      <c r="B57" s="178" t="s">
        <v>427</v>
      </c>
      <c r="C57" s="171" t="s">
        <v>375</v>
      </c>
      <c r="D57" s="162">
        <v>2351.17</v>
      </c>
      <c r="E57" s="163">
        <f t="shared" si="0"/>
        <v>705.351</v>
      </c>
      <c r="F57" s="164">
        <f t="shared" si="1"/>
        <v>1645.819</v>
      </c>
      <c r="G57" s="172"/>
      <c r="H57" s="173"/>
      <c r="I57" s="174"/>
      <c r="J57" s="175"/>
    </row>
    <row r="58" spans="1:10" ht="14.5" x14ac:dyDescent="0.35">
      <c r="A58" s="177">
        <v>2516583</v>
      </c>
      <c r="B58" s="178" t="s">
        <v>428</v>
      </c>
      <c r="C58" s="171" t="s">
        <v>375</v>
      </c>
      <c r="D58" s="162">
        <v>22.01</v>
      </c>
      <c r="E58" s="163">
        <f t="shared" si="0"/>
        <v>6.6030000000000006</v>
      </c>
      <c r="F58" s="164">
        <f t="shared" si="1"/>
        <v>15.407</v>
      </c>
      <c r="G58" s="172"/>
      <c r="H58" s="173"/>
      <c r="I58" s="174"/>
      <c r="J58" s="175"/>
    </row>
    <row r="59" spans="1:10" ht="14.5" x14ac:dyDescent="0.35">
      <c r="A59" s="177">
        <v>2519208</v>
      </c>
      <c r="B59" s="178" t="s">
        <v>429</v>
      </c>
      <c r="C59" s="171" t="s">
        <v>375</v>
      </c>
      <c r="D59" s="162">
        <v>876.44</v>
      </c>
      <c r="E59" s="163">
        <f t="shared" si="0"/>
        <v>262.93200000000002</v>
      </c>
      <c r="F59" s="164">
        <f t="shared" si="1"/>
        <v>613.50800000000004</v>
      </c>
      <c r="G59" s="172"/>
      <c r="H59" s="173"/>
      <c r="I59" s="174"/>
      <c r="J59" s="175"/>
    </row>
    <row r="60" spans="1:10" ht="14.5" x14ac:dyDescent="0.35">
      <c r="A60" s="177">
        <v>2519912</v>
      </c>
      <c r="B60" s="178" t="s">
        <v>430</v>
      </c>
      <c r="C60" s="171" t="s">
        <v>375</v>
      </c>
      <c r="D60" s="162">
        <v>64.040000000000006</v>
      </c>
      <c r="E60" s="163">
        <f t="shared" si="0"/>
        <v>19.212</v>
      </c>
      <c r="F60" s="164">
        <f t="shared" si="1"/>
        <v>44.828000000000003</v>
      </c>
      <c r="G60" s="172"/>
      <c r="H60" s="173"/>
      <c r="I60" s="174"/>
      <c r="J60" s="175"/>
    </row>
    <row r="61" spans="1:10" ht="14.5" x14ac:dyDescent="0.35">
      <c r="A61" s="177">
        <v>2516124</v>
      </c>
      <c r="B61" s="181" t="s">
        <v>431</v>
      </c>
      <c r="C61" s="171" t="s">
        <v>375</v>
      </c>
      <c r="D61" s="162">
        <v>2</v>
      </c>
      <c r="E61" s="163">
        <f t="shared" si="0"/>
        <v>0.6</v>
      </c>
      <c r="F61" s="164">
        <f t="shared" si="1"/>
        <v>1.4</v>
      </c>
      <c r="G61" s="182"/>
      <c r="H61" s="173"/>
      <c r="I61" s="174"/>
      <c r="J61" s="183"/>
    </row>
    <row r="62" spans="1:10" ht="14.5" x14ac:dyDescent="0.35">
      <c r="A62" s="177">
        <v>2516656</v>
      </c>
      <c r="B62" s="181" t="s">
        <v>432</v>
      </c>
      <c r="C62" s="171" t="s">
        <v>375</v>
      </c>
      <c r="D62" s="162">
        <v>38.020000000000003</v>
      </c>
      <c r="E62" s="163">
        <f t="shared" si="0"/>
        <v>11.406000000000001</v>
      </c>
      <c r="F62" s="164">
        <f t="shared" si="1"/>
        <v>26.614000000000001</v>
      </c>
      <c r="G62" s="182"/>
      <c r="H62" s="173"/>
      <c r="I62" s="174"/>
      <c r="J62" s="183"/>
    </row>
    <row r="63" spans="1:10" ht="14.5" x14ac:dyDescent="0.35">
      <c r="A63" s="177">
        <v>2517429</v>
      </c>
      <c r="B63" s="181" t="s">
        <v>433</v>
      </c>
      <c r="C63" s="171" t="s">
        <v>375</v>
      </c>
      <c r="D63" s="162">
        <v>408.2</v>
      </c>
      <c r="E63" s="163">
        <f t="shared" si="0"/>
        <v>122.46</v>
      </c>
      <c r="F63" s="164">
        <f t="shared" si="1"/>
        <v>285.73999999999995</v>
      </c>
      <c r="G63" s="182"/>
      <c r="H63" s="173"/>
      <c r="I63" s="174"/>
      <c r="J63" s="183"/>
    </row>
    <row r="64" spans="1:10" ht="14.5" x14ac:dyDescent="0.35">
      <c r="A64" s="177">
        <v>2518773</v>
      </c>
      <c r="B64" s="181" t="s">
        <v>434</v>
      </c>
      <c r="C64" s="171" t="s">
        <v>375</v>
      </c>
      <c r="D64" s="162">
        <v>351.73</v>
      </c>
      <c r="E64" s="163">
        <f t="shared" si="0"/>
        <v>105.51900000000001</v>
      </c>
      <c r="F64" s="164">
        <f t="shared" si="1"/>
        <v>246.21099999999998</v>
      </c>
      <c r="G64" s="182"/>
      <c r="H64" s="173"/>
      <c r="I64" s="174"/>
      <c r="J64" s="183"/>
    </row>
    <row r="65" spans="1:10" ht="14.5" x14ac:dyDescent="0.35">
      <c r="A65" s="177">
        <v>2518284</v>
      </c>
      <c r="B65" s="181" t="s">
        <v>435</v>
      </c>
      <c r="C65" s="171" t="s">
        <v>375</v>
      </c>
      <c r="D65" s="162">
        <v>66.03</v>
      </c>
      <c r="E65" s="163">
        <f t="shared" si="0"/>
        <v>19.809000000000001</v>
      </c>
      <c r="F65" s="164">
        <f t="shared" si="1"/>
        <v>46.220999999999997</v>
      </c>
      <c r="G65" s="182"/>
      <c r="H65" s="173"/>
      <c r="I65" s="174"/>
      <c r="J65" s="183"/>
    </row>
    <row r="66" spans="1:10" ht="14.5" x14ac:dyDescent="0.35">
      <c r="A66" s="177">
        <v>2519922</v>
      </c>
      <c r="B66" s="181" t="s">
        <v>436</v>
      </c>
      <c r="C66" s="171" t="s">
        <v>375</v>
      </c>
      <c r="D66" s="162">
        <v>137.24</v>
      </c>
      <c r="E66" s="163">
        <f t="shared" si="0"/>
        <v>41.172000000000004</v>
      </c>
      <c r="F66" s="164">
        <f t="shared" si="1"/>
        <v>96.067999999999998</v>
      </c>
      <c r="G66" s="182"/>
      <c r="H66" s="173"/>
      <c r="I66" s="174"/>
      <c r="J66" s="183"/>
    </row>
    <row r="67" spans="1:10" ht="15" thickBot="1" x14ac:dyDescent="0.4">
      <c r="A67" s="177"/>
      <c r="B67" s="184"/>
      <c r="C67" s="185"/>
      <c r="D67" s="162"/>
      <c r="E67" s="163"/>
      <c r="F67" s="164"/>
      <c r="G67" s="186"/>
      <c r="H67" s="173"/>
      <c r="I67" s="174"/>
      <c r="J67" s="187"/>
    </row>
    <row r="68" spans="1:10" ht="15.5" thickTop="1" thickBot="1" x14ac:dyDescent="0.4">
      <c r="A68" s="188"/>
      <c r="B68" s="188"/>
      <c r="C68" s="189" t="s">
        <v>132</v>
      </c>
      <c r="D68" s="190">
        <f>SUM(D3:D67)</f>
        <v>693065.29</v>
      </c>
      <c r="E68" s="191">
        <f>SUM(E3:E67)</f>
        <v>208453.55350000004</v>
      </c>
      <c r="F68" s="192">
        <f>SUM(F3:F67)</f>
        <v>484611.73650000012</v>
      </c>
      <c r="G68" s="193"/>
      <c r="H68" s="194">
        <f>SUM(H3:H67)</f>
        <v>0</v>
      </c>
      <c r="I68" s="195">
        <f>SUM(I3:I67)</f>
        <v>0</v>
      </c>
      <c r="J68" s="196"/>
    </row>
    <row r="69" spans="1:10" ht="12.5" thickTop="1" x14ac:dyDescent="0.3"/>
  </sheetData>
  <mergeCells count="6">
    <mergeCell ref="H1:J1"/>
    <mergeCell ref="A1:A2"/>
    <mergeCell ref="B1:B2"/>
    <mergeCell ref="C1:C2"/>
    <mergeCell ref="D1:D2"/>
    <mergeCell ref="E1:G1"/>
  </mergeCells>
  <conditionalFormatting sqref="A1:A1048576">
    <cfRule type="duplicateValues" dxfId="148" priority="1"/>
  </conditionalFormatting>
  <conditionalFormatting sqref="A50:A67">
    <cfRule type="duplicateValues" dxfId="147" priority="14"/>
    <cfRule type="duplicateValues" dxfId="146" priority="15"/>
  </conditionalFormatting>
  <conditionalFormatting sqref="A67 A3:A49">
    <cfRule type="duplicateValues" dxfId="145" priority="11"/>
    <cfRule type="duplicateValues" dxfId="144" priority="12"/>
  </conditionalFormatting>
  <conditionalFormatting sqref="A67 A50:B66">
    <cfRule type="duplicateValues" dxfId="143" priority="2"/>
  </conditionalFormatting>
  <conditionalFormatting sqref="A68">
    <cfRule type="duplicateValues" dxfId="142" priority="7"/>
  </conditionalFormatting>
  <conditionalFormatting sqref="A3:B3">
    <cfRule type="duplicateValues" dxfId="141" priority="13"/>
  </conditionalFormatting>
  <conditionalFormatting sqref="A67:B67 B31:B38 B40:B47 A31:A49">
    <cfRule type="duplicateValues" dxfId="140" priority="8"/>
  </conditionalFormatting>
  <conditionalFormatting sqref="A1:C1">
    <cfRule type="duplicateValues" dxfId="139" priority="10"/>
  </conditionalFormatting>
  <conditionalFormatting sqref="B48:B49 B39 A3:B30">
    <cfRule type="duplicateValues" dxfId="138" priority="6"/>
  </conditionalFormatting>
  <conditionalFormatting sqref="B48:B49 B39 A4:B30">
    <cfRule type="duplicateValues" dxfId="137" priority="5"/>
  </conditionalFormatting>
  <conditionalFormatting sqref="B1:C1 A1:A2">
    <cfRule type="duplicateValues" dxfId="136" priority="9"/>
  </conditionalFormatting>
  <conditionalFormatting sqref="D1">
    <cfRule type="duplicateValues" dxfId="135" priority="3"/>
  </conditionalFormatting>
  <conditionalFormatting sqref="D1:D2">
    <cfRule type="duplicateValues" dxfId="13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N13"/>
  <sheetViews>
    <sheetView zoomScaleNormal="100" workbookViewId="0">
      <pane ySplit="2" topLeftCell="A3" activePane="bottomLeft" state="frozen"/>
      <selection activeCell="G230" sqref="G230"/>
      <selection pane="bottomLeft" activeCell="C4" sqref="C4:C5"/>
    </sheetView>
  </sheetViews>
  <sheetFormatPr defaultRowHeight="12" x14ac:dyDescent="0.3"/>
  <cols>
    <col min="1" max="1" width="20.88671875" customWidth="1"/>
    <col min="2" max="2" width="29.6640625" customWidth="1"/>
    <col min="3" max="5" width="15.77734375" style="2" customWidth="1"/>
    <col min="6" max="6" width="10.88671875" customWidth="1"/>
    <col min="7" max="9" width="15.77734375" customWidth="1"/>
    <col min="10" max="10" width="16.44140625" bestFit="1" customWidth="1"/>
    <col min="11" max="11" width="21.44140625" bestFit="1" customWidth="1"/>
  </cols>
  <sheetData>
    <row r="1" spans="1:14" ht="12.5" customHeight="1" thickTop="1" x14ac:dyDescent="0.3">
      <c r="A1" s="506" t="s">
        <v>129</v>
      </c>
      <c r="B1" s="509" t="s">
        <v>126</v>
      </c>
      <c r="C1" s="423" t="s">
        <v>453</v>
      </c>
      <c r="D1" s="489" t="s">
        <v>2</v>
      </c>
      <c r="E1" s="489"/>
      <c r="F1" s="489"/>
      <c r="G1" s="511" t="s">
        <v>3</v>
      </c>
      <c r="H1" s="512"/>
      <c r="I1" s="513"/>
      <c r="J1" s="513"/>
      <c r="K1" s="514"/>
    </row>
    <row r="2" spans="1:14" ht="15.5" customHeight="1" thickBot="1" x14ac:dyDescent="0.35">
      <c r="A2" s="507"/>
      <c r="B2" s="509"/>
      <c r="C2" s="424"/>
      <c r="D2" s="491" t="s">
        <v>0</v>
      </c>
      <c r="E2" s="493" t="s">
        <v>4</v>
      </c>
      <c r="F2" s="495" t="s">
        <v>5</v>
      </c>
      <c r="G2" s="404" t="s">
        <v>0</v>
      </c>
      <c r="H2" s="516" t="s">
        <v>4</v>
      </c>
      <c r="I2" s="517"/>
      <c r="J2" s="518"/>
      <c r="K2" s="504" t="s">
        <v>5</v>
      </c>
    </row>
    <row r="3" spans="1:14" ht="24" thickTop="1" thickBot="1" x14ac:dyDescent="0.35">
      <c r="A3" s="508"/>
      <c r="B3" s="510"/>
      <c r="C3" s="425"/>
      <c r="D3" s="492"/>
      <c r="E3" s="494"/>
      <c r="F3" s="496"/>
      <c r="G3" s="515"/>
      <c r="H3" s="232" t="s">
        <v>130</v>
      </c>
      <c r="I3" s="233" t="s">
        <v>439</v>
      </c>
      <c r="J3" s="234" t="s">
        <v>131</v>
      </c>
      <c r="K3" s="505"/>
    </row>
    <row r="4" spans="1:14" ht="14.5" thickTop="1" x14ac:dyDescent="0.3">
      <c r="A4" s="261" t="s">
        <v>440</v>
      </c>
      <c r="B4" s="236" t="s">
        <v>441</v>
      </c>
      <c r="C4" s="256">
        <v>21468209.958000001</v>
      </c>
      <c r="D4" s="262">
        <f>C4*0.4</f>
        <v>8587283.9832000006</v>
      </c>
      <c r="E4" s="263">
        <f>C4*0.6</f>
        <v>12880925.9748</v>
      </c>
      <c r="F4" s="264"/>
      <c r="G4" s="265"/>
      <c r="H4" s="84"/>
      <c r="I4" s="85"/>
      <c r="J4" s="86"/>
      <c r="K4" s="266" t="s">
        <v>114</v>
      </c>
      <c r="L4" s="207"/>
      <c r="M4" s="207"/>
      <c r="N4" s="207"/>
    </row>
    <row r="5" spans="1:14" ht="14.5" thickBot="1" x14ac:dyDescent="0.35">
      <c r="A5" s="235" t="s">
        <v>442</v>
      </c>
      <c r="B5" s="236" t="s">
        <v>441</v>
      </c>
      <c r="C5" s="87">
        <v>62973148.6215</v>
      </c>
      <c r="D5" s="262">
        <f>C5*0.4</f>
        <v>25189259.448600002</v>
      </c>
      <c r="E5" s="263">
        <f>C5*0.6</f>
        <v>37783889.172899999</v>
      </c>
      <c r="F5" s="90"/>
      <c r="G5" s="83"/>
      <c r="H5" s="237"/>
      <c r="I5" s="148"/>
      <c r="J5" s="86"/>
      <c r="K5" s="238" t="s">
        <v>114</v>
      </c>
      <c r="L5" s="207"/>
      <c r="M5" s="207"/>
      <c r="N5" s="207"/>
    </row>
    <row r="6" spans="1:14" ht="15" thickTop="1" thickBot="1" x14ac:dyDescent="0.35">
      <c r="A6" s="239"/>
      <c r="B6" s="240" t="s">
        <v>132</v>
      </c>
      <c r="C6" s="151">
        <f>SUM(C4:C5)</f>
        <v>84441358.579500005</v>
      </c>
      <c r="D6" s="91">
        <f>SUM(D4:D5)</f>
        <v>33776543.4318</v>
      </c>
      <c r="E6" s="92">
        <f>SUM(E4:E5)</f>
        <v>50664815.147699997</v>
      </c>
      <c r="F6" s="241"/>
      <c r="G6" s="242">
        <f>SUM(G4:G5)</f>
        <v>0</v>
      </c>
      <c r="H6" s="243">
        <f>SUM(H4:H5)</f>
        <v>0</v>
      </c>
      <c r="I6" s="244">
        <f>I5+I4</f>
        <v>0</v>
      </c>
      <c r="J6" s="245">
        <f>J5+J4</f>
        <v>0</v>
      </c>
      <c r="K6" s="246"/>
    </row>
    <row r="7" spans="1:14" ht="12.5" thickTop="1" x14ac:dyDescent="0.3">
      <c r="A7" s="224"/>
      <c r="B7" s="224"/>
      <c r="C7" s="225"/>
      <c r="D7" s="225"/>
      <c r="E7" s="225"/>
    </row>
    <row r="8" spans="1:14" x14ac:dyDescent="0.3">
      <c r="A8" s="224"/>
      <c r="B8" s="224"/>
      <c r="C8" s="225"/>
      <c r="D8" s="225"/>
      <c r="E8" s="225"/>
      <c r="F8" s="225"/>
      <c r="G8" s="207"/>
      <c r="H8" s="117"/>
      <c r="J8" s="117"/>
    </row>
    <row r="9" spans="1:14" x14ac:dyDescent="0.3">
      <c r="A9" s="224"/>
      <c r="B9" s="224"/>
      <c r="C9" s="224"/>
      <c r="D9" s="224"/>
      <c r="E9" s="224"/>
      <c r="F9" s="225"/>
      <c r="G9" s="225"/>
      <c r="H9" s="225"/>
      <c r="I9" s="225"/>
      <c r="J9" s="225"/>
      <c r="K9" s="2"/>
    </row>
    <row r="10" spans="1:14" x14ac:dyDescent="0.3">
      <c r="A10" s="224"/>
      <c r="B10" s="224"/>
      <c r="C10" s="224"/>
      <c r="D10" s="224"/>
      <c r="E10" s="224"/>
      <c r="G10" s="207"/>
    </row>
    <row r="11" spans="1:14" x14ac:dyDescent="0.3">
      <c r="C11" s="225"/>
      <c r="D11" s="225"/>
      <c r="E11" s="225"/>
    </row>
    <row r="12" spans="1:14" x14ac:dyDescent="0.3">
      <c r="C12" s="226"/>
      <c r="D12" s="226"/>
      <c r="E12" s="226"/>
    </row>
    <row r="13" spans="1:14" x14ac:dyDescent="0.3">
      <c r="C13" s="226"/>
      <c r="D13" s="226"/>
      <c r="E13" s="226"/>
    </row>
  </sheetData>
  <mergeCells count="11">
    <mergeCell ref="K2:K3"/>
    <mergeCell ref="A1:A3"/>
    <mergeCell ref="B1:B3"/>
    <mergeCell ref="C1:C3"/>
    <mergeCell ref="D1:F1"/>
    <mergeCell ref="G1:K1"/>
    <mergeCell ref="D2:D3"/>
    <mergeCell ref="E2:E3"/>
    <mergeCell ref="F2:F3"/>
    <mergeCell ref="G2:G3"/>
    <mergeCell ref="H2:J2"/>
  </mergeCells>
  <conditionalFormatting sqref="A1">
    <cfRule type="duplicateValues" dxfId="133" priority="3"/>
    <cfRule type="duplicateValues" dxfId="132" priority="4"/>
    <cfRule type="duplicateValues" dxfId="131" priority="5"/>
    <cfRule type="duplicateValues" dxfId="130" priority="6"/>
    <cfRule type="duplicateValues" dxfId="129" priority="7"/>
  </conditionalFormatting>
  <conditionalFormatting sqref="A4:A5">
    <cfRule type="duplicateValues" dxfId="128" priority="16"/>
    <cfRule type="duplicateValues" dxfId="127" priority="17"/>
    <cfRule type="duplicateValues" dxfId="126" priority="18"/>
    <cfRule type="duplicateValues" dxfId="125" priority="19"/>
  </conditionalFormatting>
  <conditionalFormatting sqref="A6">
    <cfRule type="duplicateValues" dxfId="124" priority="15"/>
  </conditionalFormatting>
  <conditionalFormatting sqref="A11:A1048576 A1">
    <cfRule type="duplicateValues" dxfId="123" priority="8"/>
  </conditionalFormatting>
  <conditionalFormatting sqref="A11:A1048576">
    <cfRule type="duplicateValues" dxfId="122" priority="9"/>
    <cfRule type="duplicateValues" dxfId="121" priority="10"/>
    <cfRule type="duplicateValues" dxfId="120" priority="11"/>
    <cfRule type="duplicateValues" dxfId="119" priority="12"/>
    <cfRule type="duplicateValues" dxfId="118" priority="13"/>
    <cfRule type="duplicateValues" dxfId="117" priority="14"/>
  </conditionalFormatting>
  <conditionalFormatting sqref="C1">
    <cfRule type="duplicateValues" dxfId="116" priority="1"/>
    <cfRule type="duplicateValues" dxfId="115" priority="2"/>
  </conditionalFormatting>
  <conditionalFormatting sqref="F6">
    <cfRule type="duplicateValues" dxfId="114" priority="20"/>
    <cfRule type="duplicateValues" dxfId="113" priority="21"/>
    <cfRule type="duplicateValues" dxfId="112" priority="2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N22"/>
  <sheetViews>
    <sheetView topLeftCell="C1" workbookViewId="0">
      <selection activeCell="F15" sqref="F15"/>
    </sheetView>
  </sheetViews>
  <sheetFormatPr defaultRowHeight="12" x14ac:dyDescent="0.3"/>
  <cols>
    <col min="2" max="2" width="35" bestFit="1" customWidth="1"/>
    <col min="3" max="3" width="30.5546875" customWidth="1"/>
    <col min="4" max="4" width="21.88671875" customWidth="1"/>
    <col min="5" max="5" width="20.5546875" customWidth="1"/>
    <col min="6" max="6" width="15.109375" customWidth="1"/>
    <col min="7" max="7" width="9.88671875" bestFit="1" customWidth="1"/>
    <col min="8" max="8" width="14.77734375" customWidth="1"/>
    <col min="9" max="9" width="13.109375" bestFit="1" customWidth="1"/>
    <col min="11" max="11" width="16.44140625" bestFit="1" customWidth="1"/>
    <col min="12" max="12" width="10.6640625" bestFit="1" customWidth="1"/>
  </cols>
  <sheetData>
    <row r="1" spans="1:14" ht="13" thickTop="1" thickBot="1" x14ac:dyDescent="0.35">
      <c r="A1" s="423" t="s">
        <v>129</v>
      </c>
      <c r="B1" s="524" t="s">
        <v>126</v>
      </c>
      <c r="C1" s="525" t="s">
        <v>126</v>
      </c>
      <c r="D1" s="423" t="s">
        <v>453</v>
      </c>
      <c r="E1" s="526" t="s">
        <v>2</v>
      </c>
      <c r="F1" s="527"/>
      <c r="G1" s="528"/>
      <c r="H1" s="529" t="s">
        <v>3</v>
      </c>
      <c r="I1" s="530"/>
      <c r="J1" s="531"/>
      <c r="K1" s="531"/>
      <c r="L1" s="532"/>
    </row>
    <row r="2" spans="1:14" ht="14" thickTop="1" thickBot="1" x14ac:dyDescent="0.35">
      <c r="A2" s="424"/>
      <c r="B2" s="524"/>
      <c r="C2" s="525"/>
      <c r="D2" s="424"/>
      <c r="E2" s="533" t="s">
        <v>10</v>
      </c>
      <c r="F2" s="534" t="s">
        <v>11</v>
      </c>
      <c r="G2" s="535" t="s">
        <v>5</v>
      </c>
      <c r="H2" s="536" t="s">
        <v>10</v>
      </c>
      <c r="I2" s="538" t="s">
        <v>11</v>
      </c>
      <c r="J2" s="539"/>
      <c r="K2" s="540"/>
      <c r="L2" s="519" t="s">
        <v>5</v>
      </c>
    </row>
    <row r="3" spans="1:14" ht="32.5" thickTop="1" thickBot="1" x14ac:dyDescent="0.35">
      <c r="A3" s="424"/>
      <c r="B3" s="524"/>
      <c r="C3" s="525"/>
      <c r="D3" s="425"/>
      <c r="E3" s="492"/>
      <c r="F3" s="494"/>
      <c r="G3" s="496"/>
      <c r="H3" s="537"/>
      <c r="I3" s="232" t="s">
        <v>130</v>
      </c>
      <c r="J3" s="233" t="s">
        <v>439</v>
      </c>
      <c r="K3" s="234" t="s">
        <v>131</v>
      </c>
      <c r="L3" s="505"/>
    </row>
    <row r="4" spans="1:14" ht="14.5" thickTop="1" x14ac:dyDescent="0.3">
      <c r="A4" s="521">
        <v>130</v>
      </c>
      <c r="B4" s="283" t="s">
        <v>443</v>
      </c>
      <c r="C4" s="273" t="s">
        <v>448</v>
      </c>
      <c r="D4" s="287">
        <v>94393748.402999997</v>
      </c>
      <c r="E4" s="256">
        <f>D4*0.3</f>
        <v>28318124.5209</v>
      </c>
      <c r="F4" s="257">
        <f>D4*0.7</f>
        <v>66075623.882099994</v>
      </c>
      <c r="G4" s="270"/>
      <c r="H4" s="267"/>
      <c r="I4" s="248"/>
      <c r="J4" s="247"/>
      <c r="K4" s="249"/>
      <c r="L4" s="250"/>
      <c r="M4" s="228"/>
      <c r="N4" s="117"/>
    </row>
    <row r="5" spans="1:14" ht="14" x14ac:dyDescent="0.3">
      <c r="A5" s="522"/>
      <c r="B5" s="284" t="s">
        <v>444</v>
      </c>
      <c r="C5" s="274" t="s">
        <v>449</v>
      </c>
      <c r="D5" s="288">
        <v>7741506.8190000001</v>
      </c>
      <c r="E5" s="256">
        <f>D5*0.3</f>
        <v>2322452.0457000001</v>
      </c>
      <c r="F5" s="257">
        <f>D5*0.7</f>
        <v>5419054.7732999995</v>
      </c>
      <c r="G5" s="271"/>
      <c r="H5" s="268"/>
      <c r="I5" s="251"/>
      <c r="J5" s="252"/>
      <c r="K5" s="253"/>
      <c r="L5" s="254"/>
      <c r="M5" s="228"/>
      <c r="N5" s="117"/>
    </row>
    <row r="6" spans="1:14" ht="14" x14ac:dyDescent="0.3">
      <c r="A6" s="522"/>
      <c r="B6" s="284" t="s">
        <v>445</v>
      </c>
      <c r="C6" s="274" t="s">
        <v>450</v>
      </c>
      <c r="D6" s="288">
        <v>1780384.7475000001</v>
      </c>
      <c r="E6" s="256">
        <f t="shared" ref="E6:E8" si="0">D6*0.3</f>
        <v>534115.42425000004</v>
      </c>
      <c r="F6" s="257">
        <f t="shared" ref="F6:F8" si="1">D6*0.7</f>
        <v>1246269.3232499999</v>
      </c>
      <c r="G6" s="271"/>
      <c r="H6" s="268"/>
      <c r="I6" s="251"/>
      <c r="J6" s="252"/>
      <c r="K6" s="253"/>
      <c r="L6" s="254"/>
      <c r="M6" s="228"/>
      <c r="N6" s="117"/>
    </row>
    <row r="7" spans="1:14" ht="14" x14ac:dyDescent="0.3">
      <c r="A7" s="522"/>
      <c r="B7" s="284" t="s">
        <v>446</v>
      </c>
      <c r="C7" s="274" t="s">
        <v>451</v>
      </c>
      <c r="D7" s="288">
        <v>346804.44199999998</v>
      </c>
      <c r="E7" s="256">
        <f t="shared" si="0"/>
        <v>104041.33259999999</v>
      </c>
      <c r="F7" s="257">
        <f t="shared" si="1"/>
        <v>242763.10939999996</v>
      </c>
      <c r="G7" s="271"/>
      <c r="H7" s="268"/>
      <c r="I7" s="251"/>
      <c r="J7" s="252"/>
      <c r="K7" s="253"/>
      <c r="L7" s="254"/>
      <c r="M7" s="228"/>
      <c r="N7" s="117"/>
    </row>
    <row r="8" spans="1:14" ht="14.5" thickBot="1" x14ac:dyDescent="0.35">
      <c r="A8" s="523"/>
      <c r="B8" s="285" t="s">
        <v>447</v>
      </c>
      <c r="C8" s="275" t="s">
        <v>452</v>
      </c>
      <c r="D8" s="289">
        <v>343081.45500000002</v>
      </c>
      <c r="E8" s="256">
        <f t="shared" si="0"/>
        <v>102924.4365</v>
      </c>
      <c r="F8" s="257">
        <f t="shared" si="1"/>
        <v>240157.01850000001</v>
      </c>
      <c r="G8" s="272"/>
      <c r="H8" s="268"/>
      <c r="I8" s="251"/>
      <c r="J8" s="258"/>
      <c r="K8" s="259"/>
      <c r="L8" s="255"/>
      <c r="M8" s="228"/>
      <c r="N8" s="117"/>
    </row>
    <row r="9" spans="1:14" ht="15" thickTop="1" thickBot="1" x14ac:dyDescent="0.35">
      <c r="A9" s="520" t="s">
        <v>132</v>
      </c>
      <c r="B9" s="520"/>
      <c r="C9" s="520"/>
      <c r="D9" s="286">
        <f>SUM(D4:D8)</f>
        <v>104605525.86650001</v>
      </c>
      <c r="E9" s="260">
        <f>SUM(E4:E8)</f>
        <v>31381657.759950001</v>
      </c>
      <c r="F9" s="260">
        <f>SUM(F4:F8)</f>
        <v>73223868.106549993</v>
      </c>
      <c r="G9" s="260"/>
      <c r="H9" s="269">
        <f>SUM(H4:H8)</f>
        <v>0</v>
      </c>
      <c r="I9" s="243">
        <f>SUM(I4:I8)</f>
        <v>0</v>
      </c>
      <c r="J9" s="244">
        <f>SUM(J4:J8)</f>
        <v>0</v>
      </c>
      <c r="K9" s="245">
        <f>SUM(K4:K8)</f>
        <v>0</v>
      </c>
    </row>
    <row r="10" spans="1:14" ht="12.5" thickTop="1" x14ac:dyDescent="0.3"/>
    <row r="11" spans="1:14" x14ac:dyDescent="0.3">
      <c r="H11" s="117"/>
      <c r="I11" s="117"/>
      <c r="K11" s="117"/>
    </row>
    <row r="12" spans="1:14" x14ac:dyDescent="0.3">
      <c r="D12" s="117"/>
    </row>
    <row r="13" spans="1:14" x14ac:dyDescent="0.3">
      <c r="D13" s="117"/>
      <c r="E13" s="117"/>
      <c r="F13" s="117"/>
    </row>
    <row r="14" spans="1:14" x14ac:dyDescent="0.3">
      <c r="D14" s="117"/>
      <c r="E14" s="117"/>
      <c r="F14" s="117"/>
    </row>
    <row r="16" spans="1:14" x14ac:dyDescent="0.3">
      <c r="D16" s="117"/>
      <c r="E16" s="117"/>
      <c r="F16" s="117"/>
    </row>
    <row r="18" spans="3:5" x14ac:dyDescent="0.3">
      <c r="C18" s="228"/>
      <c r="D18" s="228"/>
      <c r="E18" s="228"/>
    </row>
    <row r="19" spans="3:5" x14ac:dyDescent="0.3">
      <c r="C19" s="228"/>
      <c r="D19" s="228"/>
      <c r="E19" s="228"/>
    </row>
    <row r="20" spans="3:5" x14ac:dyDescent="0.3">
      <c r="C20" s="228"/>
      <c r="D20" s="228"/>
      <c r="E20" s="228"/>
    </row>
    <row r="21" spans="3:5" x14ac:dyDescent="0.3">
      <c r="C21" s="228"/>
      <c r="D21" s="228"/>
      <c r="E21" s="228"/>
    </row>
    <row r="22" spans="3:5" x14ac:dyDescent="0.3">
      <c r="C22" s="228"/>
      <c r="D22" s="228"/>
    </row>
  </sheetData>
  <mergeCells count="14">
    <mergeCell ref="L2:L3"/>
    <mergeCell ref="A9:C9"/>
    <mergeCell ref="A4:A8"/>
    <mergeCell ref="D1:D3"/>
    <mergeCell ref="A1:A3"/>
    <mergeCell ref="B1:B3"/>
    <mergeCell ref="C1:C3"/>
    <mergeCell ref="E1:G1"/>
    <mergeCell ref="H1:L1"/>
    <mergeCell ref="E2:E3"/>
    <mergeCell ref="F2:F3"/>
    <mergeCell ref="G2:G3"/>
    <mergeCell ref="H2:H3"/>
    <mergeCell ref="I2:K2"/>
  </mergeCells>
  <conditionalFormatting sqref="A1">
    <cfRule type="duplicateValues" dxfId="111" priority="15"/>
    <cfRule type="duplicateValues" dxfId="110" priority="16"/>
    <cfRule type="duplicateValues" dxfId="109" priority="17"/>
    <cfRule type="duplicateValues" dxfId="108" priority="18"/>
    <cfRule type="duplicateValues" dxfId="107" priority="19"/>
    <cfRule type="duplicateValues" dxfId="106" priority="20"/>
  </conditionalFormatting>
  <conditionalFormatting sqref="A4">
    <cfRule type="duplicateValues" dxfId="105" priority="1"/>
    <cfRule type="duplicateValues" dxfId="104" priority="2"/>
    <cfRule type="duplicateValues" dxfId="103" priority="3"/>
    <cfRule type="duplicateValues" dxfId="102" priority="4"/>
  </conditionalFormatting>
  <conditionalFormatting sqref="B4:B8">
    <cfRule type="duplicateValues" dxfId="101" priority="9"/>
    <cfRule type="duplicateValues" dxfId="100" priority="10"/>
    <cfRule type="duplicateValues" dxfId="99" priority="11"/>
    <cfRule type="duplicateValues" dxfId="98" priority="12"/>
  </conditionalFormatting>
  <conditionalFormatting sqref="D1">
    <cfRule type="duplicateValues" dxfId="97" priority="5"/>
    <cfRule type="duplicateValues" dxfId="96" priority="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8A81-9F95-4808-9D8B-950B100540C3}">
  <sheetPr>
    <tabColor rgb="FF00B050"/>
  </sheetPr>
  <dimension ref="A1:Q332"/>
  <sheetViews>
    <sheetView tabSelected="1" workbookViewId="0">
      <selection activeCell="F6" sqref="F6"/>
    </sheetView>
  </sheetViews>
  <sheetFormatPr defaultRowHeight="12" x14ac:dyDescent="0.3"/>
  <cols>
    <col min="1" max="1" width="21.88671875" customWidth="1"/>
    <col min="2" max="2" width="26.109375" customWidth="1"/>
    <col min="3" max="3" width="21.77734375" style="2" bestFit="1" customWidth="1"/>
    <col min="4" max="5" width="18.6640625" style="2" customWidth="1"/>
    <col min="6" max="6" width="17" style="2" customWidth="1"/>
    <col min="7" max="7" width="17.5546875" style="2" customWidth="1"/>
    <col min="8" max="8" width="18.77734375" customWidth="1"/>
    <col min="9" max="9" width="17.109375" bestFit="1" customWidth="1"/>
    <col min="10" max="10" width="18.21875" bestFit="1" customWidth="1"/>
    <col min="11" max="11" width="16.109375" customWidth="1"/>
    <col min="12" max="12" width="17.109375" customWidth="1"/>
    <col min="13" max="13" width="19.21875" customWidth="1"/>
    <col min="14" max="14" width="14" customWidth="1"/>
    <col min="15" max="15" width="10.6640625" bestFit="1" customWidth="1"/>
  </cols>
  <sheetData>
    <row r="1" spans="1:17" ht="13" customHeight="1" thickTop="1" thickBot="1" x14ac:dyDescent="0.35">
      <c r="A1" s="415" t="s">
        <v>129</v>
      </c>
      <c r="B1" s="418" t="s">
        <v>126</v>
      </c>
      <c r="C1" s="421" t="s">
        <v>15</v>
      </c>
      <c r="D1" s="421"/>
      <c r="E1" s="421"/>
      <c r="F1" s="421"/>
      <c r="G1" s="421"/>
      <c r="H1" s="421"/>
      <c r="I1" s="421"/>
      <c r="J1" s="421"/>
      <c r="K1" s="421"/>
      <c r="L1" s="421"/>
      <c r="M1" s="422"/>
    </row>
    <row r="2" spans="1:17" ht="15" customHeight="1" thickTop="1" x14ac:dyDescent="0.35">
      <c r="A2" s="416"/>
      <c r="B2" s="419"/>
      <c r="C2" s="423" t="s">
        <v>899</v>
      </c>
      <c r="D2" s="426" t="s">
        <v>474</v>
      </c>
      <c r="E2" s="426"/>
      <c r="F2" s="426"/>
      <c r="G2" s="427"/>
      <c r="H2" s="428" t="s">
        <v>475</v>
      </c>
      <c r="I2" s="429"/>
      <c r="J2" s="430"/>
      <c r="K2" s="430"/>
      <c r="L2" s="430"/>
      <c r="M2" s="431"/>
    </row>
    <row r="3" spans="1:17" ht="23.5" customHeight="1" x14ac:dyDescent="0.3">
      <c r="A3" s="416"/>
      <c r="B3" s="419"/>
      <c r="C3" s="424"/>
      <c r="D3" s="432" t="s">
        <v>476</v>
      </c>
      <c r="E3" s="434" t="s">
        <v>18</v>
      </c>
      <c r="F3" s="434" t="s">
        <v>477</v>
      </c>
      <c r="G3" s="436" t="s">
        <v>5</v>
      </c>
      <c r="H3" s="404" t="s">
        <v>476</v>
      </c>
      <c r="I3" s="406" t="s">
        <v>18</v>
      </c>
      <c r="J3" s="408" t="s">
        <v>477</v>
      </c>
      <c r="K3" s="409"/>
      <c r="L3" s="410"/>
      <c r="M3" s="411" t="s">
        <v>5</v>
      </c>
    </row>
    <row r="4" spans="1:17" ht="23.5" thickBot="1" x14ac:dyDescent="0.35">
      <c r="A4" s="417"/>
      <c r="B4" s="420"/>
      <c r="C4" s="425"/>
      <c r="D4" s="433"/>
      <c r="E4" s="435"/>
      <c r="F4" s="435"/>
      <c r="G4" s="437"/>
      <c r="H4" s="405"/>
      <c r="I4" s="407"/>
      <c r="J4" s="93" t="s">
        <v>130</v>
      </c>
      <c r="K4" s="94" t="s">
        <v>133</v>
      </c>
      <c r="L4" s="95" t="s">
        <v>131</v>
      </c>
      <c r="M4" s="412"/>
    </row>
    <row r="5" spans="1:17" ht="14.5" thickTop="1" x14ac:dyDescent="0.3">
      <c r="A5" s="100" t="s">
        <v>482</v>
      </c>
      <c r="B5" s="101" t="s">
        <v>139</v>
      </c>
      <c r="C5" s="87">
        <v>5909566.8169999998</v>
      </c>
      <c r="D5" s="293">
        <v>0</v>
      </c>
      <c r="E5" s="294">
        <v>0</v>
      </c>
      <c r="F5" s="294">
        <v>5909566.8169999998</v>
      </c>
      <c r="G5" s="295" t="s">
        <v>14</v>
      </c>
      <c r="H5" s="83">
        <f>C5*0</f>
        <v>0</v>
      </c>
      <c r="I5" s="98">
        <f>C5*0</f>
        <v>0</v>
      </c>
      <c r="J5" s="84">
        <f>C5*1</f>
        <v>5909566.8169999998</v>
      </c>
      <c r="K5" s="85"/>
      <c r="L5" s="86">
        <f t="shared" ref="L5:L48" si="0">J5-K5</f>
        <v>5909566.8169999998</v>
      </c>
      <c r="M5" s="99" t="s">
        <v>454</v>
      </c>
      <c r="N5" s="207"/>
      <c r="O5" s="207"/>
      <c r="P5" s="117"/>
      <c r="Q5" s="207"/>
    </row>
    <row r="6" spans="1:17" ht="14" x14ac:dyDescent="0.3">
      <c r="A6" s="100" t="s">
        <v>834</v>
      </c>
      <c r="B6" s="101" t="s">
        <v>499</v>
      </c>
      <c r="C6" s="87">
        <v>5414519.2860000003</v>
      </c>
      <c r="D6" s="293">
        <v>2436533.6787</v>
      </c>
      <c r="E6" s="294">
        <v>541451.9286000001</v>
      </c>
      <c r="F6" s="294">
        <v>2436533.6787</v>
      </c>
      <c r="G6" s="295"/>
      <c r="H6" s="83">
        <f t="shared" ref="H6:H47" si="1">C6*0.45</f>
        <v>2436533.6787</v>
      </c>
      <c r="I6" s="98">
        <f t="shared" ref="I6:I47" si="2">C6*0.1</f>
        <v>541451.9286000001</v>
      </c>
      <c r="J6" s="84">
        <f t="shared" ref="J6:J47" si="3">C6*0.45</f>
        <v>2436533.6787</v>
      </c>
      <c r="K6" s="85"/>
      <c r="L6" s="86">
        <f t="shared" si="0"/>
        <v>2436533.6787</v>
      </c>
      <c r="M6" s="99" t="s">
        <v>454</v>
      </c>
      <c r="N6" s="207"/>
      <c r="O6" s="207"/>
      <c r="P6" s="117"/>
      <c r="Q6" s="207"/>
    </row>
    <row r="7" spans="1:17" ht="14" customHeight="1" x14ac:dyDescent="0.3">
      <c r="A7" s="100" t="s">
        <v>889</v>
      </c>
      <c r="B7" s="101" t="s">
        <v>890</v>
      </c>
      <c r="C7" s="87">
        <v>3942851.8319999999</v>
      </c>
      <c r="D7" s="293">
        <v>1774283.3244</v>
      </c>
      <c r="E7" s="294">
        <v>394285.18320000003</v>
      </c>
      <c r="F7" s="294">
        <v>1774283.3244</v>
      </c>
      <c r="G7" s="295"/>
      <c r="H7" s="83">
        <f t="shared" si="1"/>
        <v>1774283.3244</v>
      </c>
      <c r="I7" s="98">
        <f t="shared" si="2"/>
        <v>394285.18320000003</v>
      </c>
      <c r="J7" s="84">
        <f t="shared" si="3"/>
        <v>1774283.3244</v>
      </c>
      <c r="K7" s="85"/>
      <c r="L7" s="86">
        <f t="shared" si="0"/>
        <v>1774283.3244</v>
      </c>
      <c r="M7" s="99" t="s">
        <v>454</v>
      </c>
      <c r="N7" s="207"/>
      <c r="O7" s="207"/>
      <c r="P7" s="117"/>
      <c r="Q7" s="207"/>
    </row>
    <row r="8" spans="1:17" ht="14" x14ac:dyDescent="0.3">
      <c r="A8" s="100" t="s">
        <v>828</v>
      </c>
      <c r="B8" s="101" t="s">
        <v>901</v>
      </c>
      <c r="C8" s="87">
        <v>3759878.318</v>
      </c>
      <c r="D8" s="293">
        <v>1447553.15243</v>
      </c>
      <c r="E8" s="294">
        <v>338389.04861999996</v>
      </c>
      <c r="F8" s="294">
        <v>1973936.1169500002</v>
      </c>
      <c r="G8" s="295" t="s">
        <v>853</v>
      </c>
      <c r="H8" s="83">
        <f>C8*0.385</f>
        <v>1447553.15243</v>
      </c>
      <c r="I8" s="98">
        <f>C8*0.09</f>
        <v>338389.04861999996</v>
      </c>
      <c r="J8" s="84">
        <f>C8*0.525</f>
        <v>1973936.1169500002</v>
      </c>
      <c r="K8" s="85"/>
      <c r="L8" s="86">
        <f t="shared" si="0"/>
        <v>1973936.1169500002</v>
      </c>
      <c r="M8" s="99" t="s">
        <v>454</v>
      </c>
      <c r="N8" s="207"/>
      <c r="O8" s="207"/>
      <c r="P8" s="117"/>
      <c r="Q8" s="207"/>
    </row>
    <row r="9" spans="1:17" ht="14" x14ac:dyDescent="0.3">
      <c r="A9" s="100" t="s">
        <v>490</v>
      </c>
      <c r="B9" s="101" t="s">
        <v>136</v>
      </c>
      <c r="C9" s="87">
        <v>3432091.1880000001</v>
      </c>
      <c r="D9" s="293">
        <v>978145.98857999989</v>
      </c>
      <c r="E9" s="294">
        <v>308888.20691999997</v>
      </c>
      <c r="F9" s="294">
        <v>2145056.9925000002</v>
      </c>
      <c r="G9" s="295" t="s">
        <v>852</v>
      </c>
      <c r="H9" s="83">
        <f>C9*0.285</f>
        <v>978145.98857999989</v>
      </c>
      <c r="I9" s="98">
        <f>C9*0.09</f>
        <v>308888.20691999997</v>
      </c>
      <c r="J9" s="84">
        <f>C9*0.625</f>
        <v>2145056.9925000002</v>
      </c>
      <c r="K9" s="85"/>
      <c r="L9" s="86">
        <f t="shared" si="0"/>
        <v>2145056.9925000002</v>
      </c>
      <c r="M9" s="99" t="s">
        <v>454</v>
      </c>
      <c r="N9" s="207"/>
      <c r="O9" s="207"/>
      <c r="P9" s="117"/>
      <c r="Q9" s="207"/>
    </row>
    <row r="10" spans="1:17" ht="14" x14ac:dyDescent="0.3">
      <c r="A10" s="100" t="s">
        <v>484</v>
      </c>
      <c r="B10" s="101" t="s">
        <v>143</v>
      </c>
      <c r="C10" s="87">
        <v>3186290.4</v>
      </c>
      <c r="D10" s="293">
        <v>1433830.68</v>
      </c>
      <c r="E10" s="294">
        <v>318629.04000000004</v>
      </c>
      <c r="F10" s="294">
        <v>1433830.68</v>
      </c>
      <c r="G10" s="295"/>
      <c r="H10" s="83">
        <f t="shared" si="1"/>
        <v>1433830.68</v>
      </c>
      <c r="I10" s="98">
        <f t="shared" si="2"/>
        <v>318629.04000000004</v>
      </c>
      <c r="J10" s="84">
        <f t="shared" si="3"/>
        <v>1433830.68</v>
      </c>
      <c r="K10" s="85"/>
      <c r="L10" s="86">
        <f t="shared" si="0"/>
        <v>1433830.68</v>
      </c>
      <c r="M10" s="99" t="s">
        <v>454</v>
      </c>
      <c r="N10" s="207"/>
      <c r="O10" s="207"/>
      <c r="P10" s="117"/>
      <c r="Q10" s="207"/>
    </row>
    <row r="11" spans="1:17" ht="14" x14ac:dyDescent="0.3">
      <c r="A11" s="100" t="s">
        <v>483</v>
      </c>
      <c r="B11" s="101" t="s">
        <v>900</v>
      </c>
      <c r="C11" s="87">
        <v>3003914.9405</v>
      </c>
      <c r="D11" s="293">
        <v>1156507.2520925</v>
      </c>
      <c r="E11" s="294">
        <v>270352.344645</v>
      </c>
      <c r="F11" s="294">
        <v>1577055.3437625</v>
      </c>
      <c r="G11" s="295" t="s">
        <v>853</v>
      </c>
      <c r="H11" s="83">
        <f t="shared" ref="H11:H12" si="4">C11*0.385</f>
        <v>1156507.2520925</v>
      </c>
      <c r="I11" s="98">
        <f t="shared" ref="I11:I12" si="5">C11*0.09</f>
        <v>270352.344645</v>
      </c>
      <c r="J11" s="84">
        <f t="shared" ref="J11:J12" si="6">C11*0.525</f>
        <v>1577055.3437625</v>
      </c>
      <c r="K11" s="85"/>
      <c r="L11" s="86">
        <f t="shared" si="0"/>
        <v>1577055.3437625</v>
      </c>
      <c r="M11" s="99" t="s">
        <v>454</v>
      </c>
      <c r="N11" s="207"/>
      <c r="O11" s="207"/>
      <c r="P11" s="117"/>
      <c r="Q11" s="207"/>
    </row>
    <row r="12" spans="1:17" ht="14" x14ac:dyDescent="0.3">
      <c r="A12" s="100" t="s">
        <v>488</v>
      </c>
      <c r="B12" s="101" t="s">
        <v>489</v>
      </c>
      <c r="C12" s="87">
        <v>2998485.6885000002</v>
      </c>
      <c r="D12" s="293">
        <v>1154416.9900725002</v>
      </c>
      <c r="E12" s="294">
        <v>269863.71196500002</v>
      </c>
      <c r="F12" s="294">
        <v>1574204.9864625002</v>
      </c>
      <c r="G12" s="295" t="s">
        <v>853</v>
      </c>
      <c r="H12" s="83">
        <f t="shared" si="4"/>
        <v>1154416.9900725002</v>
      </c>
      <c r="I12" s="98">
        <f t="shared" si="5"/>
        <v>269863.71196500002</v>
      </c>
      <c r="J12" s="84">
        <f t="shared" si="6"/>
        <v>1574204.9864625002</v>
      </c>
      <c r="K12" s="85"/>
      <c r="L12" s="86">
        <f t="shared" si="0"/>
        <v>1574204.9864625002</v>
      </c>
      <c r="M12" s="99" t="s">
        <v>454</v>
      </c>
      <c r="N12" s="207"/>
      <c r="O12" s="207"/>
      <c r="P12" s="117"/>
      <c r="Q12" s="207"/>
    </row>
    <row r="13" spans="1:17" ht="14" x14ac:dyDescent="0.3">
      <c r="A13" s="100" t="s">
        <v>887</v>
      </c>
      <c r="B13" s="101" t="s">
        <v>902</v>
      </c>
      <c r="C13" s="87">
        <v>2663241.2294999999</v>
      </c>
      <c r="D13" s="293">
        <v>825604.78114500002</v>
      </c>
      <c r="E13" s="294">
        <v>239691.71065499997</v>
      </c>
      <c r="F13" s="294">
        <v>1597944.7376999999</v>
      </c>
      <c r="G13" s="295" t="s">
        <v>855</v>
      </c>
      <c r="H13" s="83">
        <f>C13*0.31</f>
        <v>825604.78114500002</v>
      </c>
      <c r="I13" s="98">
        <f>C13*0.09</f>
        <v>239691.71065499997</v>
      </c>
      <c r="J13" s="84">
        <f>C13*0.6</f>
        <v>1597944.7376999999</v>
      </c>
      <c r="K13" s="85"/>
      <c r="L13" s="86">
        <f t="shared" si="0"/>
        <v>1597944.7376999999</v>
      </c>
      <c r="M13" s="99" t="s">
        <v>454</v>
      </c>
      <c r="N13" s="207"/>
      <c r="O13" s="207"/>
      <c r="P13" s="117"/>
      <c r="Q13" s="207"/>
    </row>
    <row r="14" spans="1:17" ht="14" x14ac:dyDescent="0.3">
      <c r="A14" s="100" t="s">
        <v>537</v>
      </c>
      <c r="B14" s="101" t="s">
        <v>538</v>
      </c>
      <c r="C14" s="87">
        <v>2439306.9569999999</v>
      </c>
      <c r="D14" s="293">
        <v>1097688.1306499999</v>
      </c>
      <c r="E14" s="294">
        <v>243930.69570000001</v>
      </c>
      <c r="F14" s="294">
        <v>1097688.1306499999</v>
      </c>
      <c r="G14" s="295"/>
      <c r="H14" s="83">
        <f t="shared" si="1"/>
        <v>1097688.1306499999</v>
      </c>
      <c r="I14" s="98">
        <f t="shared" si="2"/>
        <v>243930.69570000001</v>
      </c>
      <c r="J14" s="84">
        <f t="shared" si="3"/>
        <v>1097688.1306499999</v>
      </c>
      <c r="K14" s="85"/>
      <c r="L14" s="86">
        <f t="shared" si="0"/>
        <v>1097688.1306499999</v>
      </c>
      <c r="M14" s="99" t="s">
        <v>454</v>
      </c>
      <c r="N14" s="207"/>
      <c r="O14" s="207"/>
      <c r="P14" s="117"/>
      <c r="Q14" s="207"/>
    </row>
    <row r="15" spans="1:17" ht="14" x14ac:dyDescent="0.3">
      <c r="A15" s="100" t="s">
        <v>494</v>
      </c>
      <c r="B15" s="101" t="s">
        <v>495</v>
      </c>
      <c r="C15" s="87">
        <v>2160927.2115000002</v>
      </c>
      <c r="D15" s="293">
        <v>615864.25527750002</v>
      </c>
      <c r="E15" s="294">
        <v>194483.449035</v>
      </c>
      <c r="F15" s="294">
        <v>1350579.5071875001</v>
      </c>
      <c r="G15" s="295" t="s">
        <v>852</v>
      </c>
      <c r="H15" s="83">
        <f>C15*0.285</f>
        <v>615864.25527750002</v>
      </c>
      <c r="I15" s="98">
        <f>C15*0.09</f>
        <v>194483.449035</v>
      </c>
      <c r="J15" s="84">
        <f>C15*0.625</f>
        <v>1350579.5071875001</v>
      </c>
      <c r="K15" s="85"/>
      <c r="L15" s="86">
        <f t="shared" si="0"/>
        <v>1350579.5071875001</v>
      </c>
      <c r="M15" s="99" t="s">
        <v>454</v>
      </c>
      <c r="N15" s="207"/>
      <c r="O15" s="207"/>
      <c r="P15" s="117"/>
      <c r="Q15" s="207"/>
    </row>
    <row r="16" spans="1:17" ht="14" x14ac:dyDescent="0.3">
      <c r="A16" s="100" t="s">
        <v>848</v>
      </c>
      <c r="B16" s="101" t="s">
        <v>883</v>
      </c>
      <c r="C16" s="87">
        <v>2138841.8849999998</v>
      </c>
      <c r="D16" s="293">
        <v>823454.12572499993</v>
      </c>
      <c r="E16" s="294">
        <v>192495.76964999997</v>
      </c>
      <c r="F16" s="294">
        <v>1122891.9896249999</v>
      </c>
      <c r="G16" s="295" t="s">
        <v>853</v>
      </c>
      <c r="H16" s="83">
        <f>C16*0.385</f>
        <v>823454.12572499993</v>
      </c>
      <c r="I16" s="98">
        <f>C16*0.09</f>
        <v>192495.76964999997</v>
      </c>
      <c r="J16" s="84">
        <f>C16*0.525</f>
        <v>1122891.9896249999</v>
      </c>
      <c r="K16" s="85"/>
      <c r="L16" s="86">
        <f t="shared" si="0"/>
        <v>1122891.9896249999</v>
      </c>
      <c r="M16" s="99" t="s">
        <v>454</v>
      </c>
      <c r="N16" s="207"/>
      <c r="O16" s="207"/>
      <c r="P16" s="117"/>
      <c r="Q16" s="207"/>
    </row>
    <row r="17" spans="1:17" ht="14" x14ac:dyDescent="0.3">
      <c r="A17" s="100" t="s">
        <v>560</v>
      </c>
      <c r="B17" s="101" t="s">
        <v>148</v>
      </c>
      <c r="C17" s="87">
        <v>2100545.4643000001</v>
      </c>
      <c r="D17" s="293">
        <v>945245.45893500012</v>
      </c>
      <c r="E17" s="294">
        <v>210054.54643000002</v>
      </c>
      <c r="F17" s="294">
        <v>945245.45893500012</v>
      </c>
      <c r="G17" s="295"/>
      <c r="H17" s="83">
        <f t="shared" si="1"/>
        <v>945245.45893500012</v>
      </c>
      <c r="I17" s="98">
        <f t="shared" si="2"/>
        <v>210054.54643000002</v>
      </c>
      <c r="J17" s="84">
        <f t="shared" si="3"/>
        <v>945245.45893500012</v>
      </c>
      <c r="K17" s="85"/>
      <c r="L17" s="86">
        <f t="shared" si="0"/>
        <v>945245.45893500012</v>
      </c>
      <c r="M17" s="99" t="s">
        <v>454</v>
      </c>
      <c r="N17" s="207"/>
      <c r="O17" s="207"/>
      <c r="P17" s="117"/>
      <c r="Q17" s="207"/>
    </row>
    <row r="18" spans="1:17" ht="14" x14ac:dyDescent="0.3">
      <c r="A18" s="100" t="s">
        <v>486</v>
      </c>
      <c r="B18" s="101" t="s">
        <v>487</v>
      </c>
      <c r="C18" s="87">
        <v>1864817.943</v>
      </c>
      <c r="D18" s="293">
        <v>671334.45947999996</v>
      </c>
      <c r="E18" s="294">
        <v>167833.61486999999</v>
      </c>
      <c r="F18" s="294">
        <v>1025649.8686500001</v>
      </c>
      <c r="G18" s="295" t="s">
        <v>856</v>
      </c>
      <c r="H18" s="83">
        <f>C18*0.36</f>
        <v>671334.45947999996</v>
      </c>
      <c r="I18" s="98">
        <f>C18*0.09</f>
        <v>167833.61486999999</v>
      </c>
      <c r="J18" s="84">
        <f>C18*0.55</f>
        <v>1025649.8686500001</v>
      </c>
      <c r="K18" s="85"/>
      <c r="L18" s="86">
        <f t="shared" si="0"/>
        <v>1025649.8686500001</v>
      </c>
      <c r="M18" s="99" t="s">
        <v>454</v>
      </c>
      <c r="N18" s="207"/>
      <c r="O18" s="207"/>
      <c r="P18" s="117"/>
      <c r="Q18" s="207"/>
    </row>
    <row r="19" spans="1:17" ht="14" x14ac:dyDescent="0.3">
      <c r="A19" s="100" t="s">
        <v>485</v>
      </c>
      <c r="B19" s="101" t="s">
        <v>162</v>
      </c>
      <c r="C19" s="87">
        <v>1822896.993</v>
      </c>
      <c r="D19" s="293">
        <v>820303.64685000002</v>
      </c>
      <c r="E19" s="294">
        <v>182289.69930000001</v>
      </c>
      <c r="F19" s="294">
        <v>820303.64685000002</v>
      </c>
      <c r="G19" s="295"/>
      <c r="H19" s="83">
        <f t="shared" si="1"/>
        <v>820303.64685000002</v>
      </c>
      <c r="I19" s="98">
        <f t="shared" si="2"/>
        <v>182289.69930000001</v>
      </c>
      <c r="J19" s="84">
        <f t="shared" si="3"/>
        <v>820303.64685000002</v>
      </c>
      <c r="K19" s="85"/>
      <c r="L19" s="86">
        <f t="shared" si="0"/>
        <v>820303.64685000002</v>
      </c>
      <c r="M19" s="99" t="s">
        <v>454</v>
      </c>
      <c r="N19" s="207"/>
      <c r="O19" s="207"/>
      <c r="P19" s="117"/>
      <c r="Q19" s="207"/>
    </row>
    <row r="20" spans="1:17" ht="14" x14ac:dyDescent="0.3">
      <c r="A20" s="100" t="s">
        <v>491</v>
      </c>
      <c r="B20" s="101" t="s">
        <v>137</v>
      </c>
      <c r="C20" s="87">
        <v>1810946.952</v>
      </c>
      <c r="D20" s="293">
        <v>697214.57652</v>
      </c>
      <c r="E20" s="294">
        <v>162985.22568</v>
      </c>
      <c r="F20" s="294">
        <v>950747.14980000001</v>
      </c>
      <c r="G20" s="295" t="s">
        <v>853</v>
      </c>
      <c r="H20" s="83">
        <f>C20*0.385</f>
        <v>697214.57652</v>
      </c>
      <c r="I20" s="98">
        <f>C20*0.09</f>
        <v>162985.22568</v>
      </c>
      <c r="J20" s="84">
        <f>C20*0.525</f>
        <v>950747.14980000001</v>
      </c>
      <c r="K20" s="85"/>
      <c r="L20" s="86">
        <f t="shared" si="0"/>
        <v>950747.14980000001</v>
      </c>
      <c r="M20" s="99" t="s">
        <v>454</v>
      </c>
      <c r="N20" s="207"/>
      <c r="O20" s="207"/>
      <c r="P20" s="117"/>
      <c r="Q20" s="207"/>
    </row>
    <row r="21" spans="1:17" ht="14" x14ac:dyDescent="0.3">
      <c r="A21" s="100" t="s">
        <v>498</v>
      </c>
      <c r="B21" s="101" t="s">
        <v>499</v>
      </c>
      <c r="C21" s="87">
        <v>1758647.6669999999</v>
      </c>
      <c r="D21" s="293">
        <v>791391.45014999993</v>
      </c>
      <c r="E21" s="294">
        <v>175864.76670000001</v>
      </c>
      <c r="F21" s="294">
        <v>791391.45014999993</v>
      </c>
      <c r="G21" s="295"/>
      <c r="H21" s="83">
        <f t="shared" si="1"/>
        <v>791391.45014999993</v>
      </c>
      <c r="I21" s="98">
        <f t="shared" si="2"/>
        <v>175864.76670000001</v>
      </c>
      <c r="J21" s="84">
        <f t="shared" si="3"/>
        <v>791391.45014999993</v>
      </c>
      <c r="K21" s="85"/>
      <c r="L21" s="86">
        <f t="shared" si="0"/>
        <v>791391.45014999993</v>
      </c>
      <c r="M21" s="99" t="s">
        <v>454</v>
      </c>
      <c r="N21" s="207"/>
      <c r="O21" s="207"/>
      <c r="P21" s="117"/>
      <c r="Q21" s="207"/>
    </row>
    <row r="22" spans="1:17" ht="14" x14ac:dyDescent="0.3">
      <c r="A22" s="100" t="s">
        <v>513</v>
      </c>
      <c r="B22" s="101" t="s">
        <v>903</v>
      </c>
      <c r="C22" s="87">
        <v>1724710.9275</v>
      </c>
      <c r="D22" s="293">
        <v>1300432.0393349999</v>
      </c>
      <c r="E22" s="294">
        <v>62089.593390000002</v>
      </c>
      <c r="F22" s="294">
        <v>362189.29477500002</v>
      </c>
      <c r="G22" s="295" t="s">
        <v>857</v>
      </c>
      <c r="H22" s="83">
        <f>(C22*0.6)+((C22-(C22*0.6))*0.385)</f>
        <v>1300432.0393349999</v>
      </c>
      <c r="I22" s="98">
        <f>((C22-(C22*0.6))*0.09)</f>
        <v>62089.593390000002</v>
      </c>
      <c r="J22" s="84">
        <f>((C22-(C22*0.6))*0.525)</f>
        <v>362189.29477500002</v>
      </c>
      <c r="K22" s="85"/>
      <c r="L22" s="86">
        <f t="shared" si="0"/>
        <v>362189.29477500002</v>
      </c>
      <c r="M22" s="99" t="s">
        <v>454</v>
      </c>
      <c r="N22" s="207"/>
      <c r="O22" s="207"/>
      <c r="P22" s="117"/>
      <c r="Q22" s="207"/>
    </row>
    <row r="23" spans="1:17" ht="14" x14ac:dyDescent="0.3">
      <c r="A23" s="100" t="s">
        <v>497</v>
      </c>
      <c r="B23" s="101" t="s">
        <v>146</v>
      </c>
      <c r="C23" s="87">
        <v>1694704.929</v>
      </c>
      <c r="D23" s="293">
        <v>762617.21805000002</v>
      </c>
      <c r="E23" s="294">
        <v>169470.49290000001</v>
      </c>
      <c r="F23" s="294">
        <v>762617.21805000002</v>
      </c>
      <c r="G23" s="295"/>
      <c r="H23" s="83">
        <f t="shared" si="1"/>
        <v>762617.21805000002</v>
      </c>
      <c r="I23" s="98">
        <f t="shared" si="2"/>
        <v>169470.49290000001</v>
      </c>
      <c r="J23" s="84">
        <f t="shared" si="3"/>
        <v>762617.21805000002</v>
      </c>
      <c r="K23" s="85"/>
      <c r="L23" s="86">
        <f t="shared" si="0"/>
        <v>762617.21805000002</v>
      </c>
      <c r="M23" s="99" t="s">
        <v>454</v>
      </c>
      <c r="N23" s="207"/>
      <c r="O23" s="207"/>
      <c r="P23" s="117"/>
      <c r="Q23" s="207"/>
    </row>
    <row r="24" spans="1:17" ht="14" x14ac:dyDescent="0.3">
      <c r="A24" s="100" t="s">
        <v>584</v>
      </c>
      <c r="B24" s="101" t="s">
        <v>188</v>
      </c>
      <c r="C24" s="87">
        <v>1674288.7245</v>
      </c>
      <c r="D24" s="293">
        <v>753429.92602500005</v>
      </c>
      <c r="E24" s="294">
        <v>167428.87245000002</v>
      </c>
      <c r="F24" s="294">
        <v>753429.92602500005</v>
      </c>
      <c r="G24" s="295"/>
      <c r="H24" s="83">
        <f t="shared" si="1"/>
        <v>753429.92602500005</v>
      </c>
      <c r="I24" s="98">
        <f t="shared" si="2"/>
        <v>167428.87245000002</v>
      </c>
      <c r="J24" s="84">
        <f t="shared" si="3"/>
        <v>753429.92602500005</v>
      </c>
      <c r="K24" s="85"/>
      <c r="L24" s="86">
        <f t="shared" si="0"/>
        <v>753429.92602500005</v>
      </c>
      <c r="M24" s="99" t="s">
        <v>454</v>
      </c>
      <c r="N24" s="207"/>
      <c r="O24" s="207"/>
      <c r="P24" s="117"/>
      <c r="Q24" s="207"/>
    </row>
    <row r="25" spans="1:17" ht="14" x14ac:dyDescent="0.3">
      <c r="A25" s="100" t="s">
        <v>549</v>
      </c>
      <c r="B25" s="101" t="s">
        <v>153</v>
      </c>
      <c r="C25" s="87">
        <v>1613554.0290000001</v>
      </c>
      <c r="D25" s="293">
        <v>726099.31305000011</v>
      </c>
      <c r="E25" s="294">
        <v>161355.40290000002</v>
      </c>
      <c r="F25" s="294">
        <v>726099.31305000011</v>
      </c>
      <c r="G25" s="295"/>
      <c r="H25" s="83">
        <f t="shared" si="1"/>
        <v>726099.31305000011</v>
      </c>
      <c r="I25" s="98">
        <f t="shared" si="2"/>
        <v>161355.40290000002</v>
      </c>
      <c r="J25" s="84">
        <f t="shared" si="3"/>
        <v>726099.31305000011</v>
      </c>
      <c r="K25" s="85"/>
      <c r="L25" s="86">
        <f t="shared" si="0"/>
        <v>726099.31305000011</v>
      </c>
      <c r="M25" s="99" t="s">
        <v>454</v>
      </c>
      <c r="N25" s="207"/>
      <c r="O25" s="207"/>
      <c r="P25" s="117"/>
      <c r="Q25" s="207"/>
    </row>
    <row r="26" spans="1:17" ht="14" x14ac:dyDescent="0.3">
      <c r="A26" s="100" t="s">
        <v>635</v>
      </c>
      <c r="B26" s="101" t="s">
        <v>152</v>
      </c>
      <c r="C26" s="87">
        <v>1525163.6835</v>
      </c>
      <c r="D26" s="293">
        <v>686323.65757500008</v>
      </c>
      <c r="E26" s="294">
        <v>152516.36835</v>
      </c>
      <c r="F26" s="294">
        <v>686323.65757500008</v>
      </c>
      <c r="G26" s="295"/>
      <c r="H26" s="83">
        <f t="shared" si="1"/>
        <v>686323.65757500008</v>
      </c>
      <c r="I26" s="98">
        <f t="shared" si="2"/>
        <v>152516.36835</v>
      </c>
      <c r="J26" s="84">
        <f t="shared" si="3"/>
        <v>686323.65757500008</v>
      </c>
      <c r="K26" s="85"/>
      <c r="L26" s="86">
        <f t="shared" si="0"/>
        <v>686323.65757500008</v>
      </c>
      <c r="M26" s="99" t="s">
        <v>454</v>
      </c>
      <c r="N26" s="207"/>
      <c r="O26" s="207"/>
      <c r="P26" s="117"/>
      <c r="Q26" s="207"/>
    </row>
    <row r="27" spans="1:17" ht="14" x14ac:dyDescent="0.3">
      <c r="A27" s="100" t="s">
        <v>546</v>
      </c>
      <c r="B27" s="101" t="s">
        <v>174</v>
      </c>
      <c r="C27" s="87">
        <v>1512064.9154999999</v>
      </c>
      <c r="D27" s="293">
        <v>680429.21197499998</v>
      </c>
      <c r="E27" s="294">
        <v>151206.49155000001</v>
      </c>
      <c r="F27" s="294">
        <v>680429.21197499998</v>
      </c>
      <c r="G27" s="295"/>
      <c r="H27" s="83">
        <f t="shared" si="1"/>
        <v>680429.21197499998</v>
      </c>
      <c r="I27" s="98">
        <f t="shared" si="2"/>
        <v>151206.49155000001</v>
      </c>
      <c r="J27" s="84">
        <f t="shared" si="3"/>
        <v>680429.21197499998</v>
      </c>
      <c r="K27" s="85"/>
      <c r="L27" s="86">
        <f t="shared" si="0"/>
        <v>680429.21197499998</v>
      </c>
      <c r="M27" s="99" t="s">
        <v>454</v>
      </c>
      <c r="N27" s="207"/>
      <c r="O27" s="207"/>
      <c r="P27" s="117"/>
      <c r="Q27" s="207"/>
    </row>
    <row r="28" spans="1:17" ht="14" x14ac:dyDescent="0.3">
      <c r="A28" s="100" t="s">
        <v>789</v>
      </c>
      <c r="B28" s="101" t="s">
        <v>790</v>
      </c>
      <c r="C28" s="87">
        <v>1488103.68</v>
      </c>
      <c r="D28" s="293">
        <v>669646.65599999996</v>
      </c>
      <c r="E28" s="294">
        <v>148810.36799999999</v>
      </c>
      <c r="F28" s="294">
        <v>669646.65599999996</v>
      </c>
      <c r="G28" s="295"/>
      <c r="H28" s="83">
        <f t="shared" si="1"/>
        <v>669646.65599999996</v>
      </c>
      <c r="I28" s="98">
        <f t="shared" si="2"/>
        <v>148810.36799999999</v>
      </c>
      <c r="J28" s="84">
        <f t="shared" si="3"/>
        <v>669646.65599999996</v>
      </c>
      <c r="K28" s="85"/>
      <c r="L28" s="86">
        <f t="shared" si="0"/>
        <v>669646.65599999996</v>
      </c>
      <c r="M28" s="99" t="s">
        <v>454</v>
      </c>
      <c r="N28" s="207"/>
      <c r="O28" s="207"/>
      <c r="P28" s="117"/>
      <c r="Q28" s="207"/>
    </row>
    <row r="29" spans="1:17" ht="14" x14ac:dyDescent="0.3">
      <c r="A29" s="100" t="s">
        <v>509</v>
      </c>
      <c r="B29" s="101" t="s">
        <v>152</v>
      </c>
      <c r="C29" s="87">
        <v>1371579.3</v>
      </c>
      <c r="D29" s="293">
        <v>617210.68500000006</v>
      </c>
      <c r="E29" s="294">
        <v>137157.93000000002</v>
      </c>
      <c r="F29" s="294">
        <v>617210.68500000006</v>
      </c>
      <c r="G29" s="295"/>
      <c r="H29" s="83">
        <f t="shared" si="1"/>
        <v>617210.68500000006</v>
      </c>
      <c r="I29" s="98">
        <f t="shared" si="2"/>
        <v>137157.93000000002</v>
      </c>
      <c r="J29" s="84">
        <f t="shared" si="3"/>
        <v>617210.68500000006</v>
      </c>
      <c r="K29" s="85"/>
      <c r="L29" s="86">
        <f t="shared" si="0"/>
        <v>617210.68500000006</v>
      </c>
      <c r="M29" s="99" t="s">
        <v>454</v>
      </c>
      <c r="N29" s="207"/>
      <c r="O29" s="207"/>
      <c r="P29" s="117"/>
      <c r="Q29" s="207"/>
    </row>
    <row r="30" spans="1:17" ht="14" x14ac:dyDescent="0.3">
      <c r="A30" s="100" t="s">
        <v>492</v>
      </c>
      <c r="B30" s="101" t="s">
        <v>493</v>
      </c>
      <c r="C30" s="87">
        <v>1264849.1505</v>
      </c>
      <c r="D30" s="293">
        <v>486966.92294249998</v>
      </c>
      <c r="E30" s="294">
        <v>113836.423545</v>
      </c>
      <c r="F30" s="294">
        <v>664045.80401249998</v>
      </c>
      <c r="G30" s="295" t="s">
        <v>853</v>
      </c>
      <c r="H30" s="83">
        <f>C30*0.385</f>
        <v>486966.92294249998</v>
      </c>
      <c r="I30" s="98">
        <f>C30*0.09</f>
        <v>113836.423545</v>
      </c>
      <c r="J30" s="84">
        <f>C30*0.525</f>
        <v>664045.80401249998</v>
      </c>
      <c r="K30" s="85"/>
      <c r="L30" s="86">
        <f t="shared" si="0"/>
        <v>664045.80401249998</v>
      </c>
      <c r="M30" s="99" t="s">
        <v>454</v>
      </c>
      <c r="N30" s="207"/>
      <c r="O30" s="207"/>
      <c r="P30" s="117"/>
      <c r="Q30" s="207"/>
    </row>
    <row r="31" spans="1:17" ht="21" customHeight="1" x14ac:dyDescent="0.3">
      <c r="A31" s="100" t="s">
        <v>496</v>
      </c>
      <c r="B31" s="101" t="s">
        <v>198</v>
      </c>
      <c r="C31" s="87">
        <v>1260581.976</v>
      </c>
      <c r="D31" s="293">
        <v>567261.88919999998</v>
      </c>
      <c r="E31" s="294">
        <v>126058.19760000001</v>
      </c>
      <c r="F31" s="294">
        <v>567261.88919999998</v>
      </c>
      <c r="G31" s="295"/>
      <c r="H31" s="83">
        <f t="shared" si="1"/>
        <v>567261.88919999998</v>
      </c>
      <c r="I31" s="98">
        <f t="shared" si="2"/>
        <v>126058.19760000001</v>
      </c>
      <c r="J31" s="84">
        <f t="shared" si="3"/>
        <v>567261.88919999998</v>
      </c>
      <c r="K31" s="85"/>
      <c r="L31" s="86">
        <f t="shared" si="0"/>
        <v>567261.88919999998</v>
      </c>
      <c r="M31" s="99" t="s">
        <v>454</v>
      </c>
      <c r="N31" s="207"/>
      <c r="O31" s="207"/>
      <c r="P31" s="117"/>
      <c r="Q31" s="207"/>
    </row>
    <row r="32" spans="1:17" ht="14" x14ac:dyDescent="0.3">
      <c r="A32" s="100" t="s">
        <v>552</v>
      </c>
      <c r="B32" s="101" t="s">
        <v>202</v>
      </c>
      <c r="C32" s="87">
        <v>1257405.2355</v>
      </c>
      <c r="D32" s="293">
        <v>565832.35597499995</v>
      </c>
      <c r="E32" s="294">
        <v>125740.52355</v>
      </c>
      <c r="F32" s="294">
        <v>565832.35597499995</v>
      </c>
      <c r="G32" s="295"/>
      <c r="H32" s="83">
        <f t="shared" si="1"/>
        <v>565832.35597499995</v>
      </c>
      <c r="I32" s="98">
        <f t="shared" si="2"/>
        <v>125740.52355</v>
      </c>
      <c r="J32" s="84">
        <f t="shared" si="3"/>
        <v>565832.35597499995</v>
      </c>
      <c r="K32" s="85"/>
      <c r="L32" s="86">
        <f t="shared" si="0"/>
        <v>565832.35597499995</v>
      </c>
      <c r="M32" s="99" t="s">
        <v>454</v>
      </c>
      <c r="N32" s="207"/>
      <c r="O32" s="207"/>
      <c r="P32" s="117"/>
      <c r="Q32" s="207"/>
    </row>
    <row r="33" spans="1:17" ht="14" x14ac:dyDescent="0.3">
      <c r="A33" s="100" t="s">
        <v>511</v>
      </c>
      <c r="B33" s="101" t="s">
        <v>199</v>
      </c>
      <c r="C33" s="87">
        <v>1230689.895</v>
      </c>
      <c r="D33" s="293">
        <v>553810.45275000005</v>
      </c>
      <c r="E33" s="294">
        <v>123068.98950000001</v>
      </c>
      <c r="F33" s="294">
        <v>553810.45275000005</v>
      </c>
      <c r="G33" s="295"/>
      <c r="H33" s="83">
        <f t="shared" si="1"/>
        <v>553810.45275000005</v>
      </c>
      <c r="I33" s="98">
        <f t="shared" si="2"/>
        <v>123068.98950000001</v>
      </c>
      <c r="J33" s="84">
        <f t="shared" si="3"/>
        <v>553810.45275000005</v>
      </c>
      <c r="K33" s="85"/>
      <c r="L33" s="86">
        <f t="shared" si="0"/>
        <v>553810.45275000005</v>
      </c>
      <c r="M33" s="99" t="s">
        <v>454</v>
      </c>
      <c r="N33" s="207"/>
      <c r="O33" s="207"/>
      <c r="P33" s="117"/>
      <c r="Q33" s="207"/>
    </row>
    <row r="34" spans="1:17" ht="14" x14ac:dyDescent="0.3">
      <c r="A34" s="100" t="s">
        <v>500</v>
      </c>
      <c r="B34" s="101" t="s">
        <v>154</v>
      </c>
      <c r="C34" s="87">
        <v>1147357.5660000001</v>
      </c>
      <c r="D34" s="293">
        <v>516310.90470000007</v>
      </c>
      <c r="E34" s="294">
        <v>114735.75660000002</v>
      </c>
      <c r="F34" s="294">
        <v>516310.90470000007</v>
      </c>
      <c r="G34" s="295"/>
      <c r="H34" s="83">
        <f t="shared" si="1"/>
        <v>516310.90470000007</v>
      </c>
      <c r="I34" s="98">
        <f t="shared" si="2"/>
        <v>114735.75660000002</v>
      </c>
      <c r="J34" s="84">
        <f t="shared" si="3"/>
        <v>516310.90470000007</v>
      </c>
      <c r="K34" s="85"/>
      <c r="L34" s="86">
        <f t="shared" si="0"/>
        <v>516310.90470000007</v>
      </c>
      <c r="M34" s="99" t="s">
        <v>454</v>
      </c>
      <c r="N34" s="207"/>
      <c r="O34" s="207"/>
      <c r="P34" s="117"/>
      <c r="Q34" s="207"/>
    </row>
    <row r="35" spans="1:17" ht="14" x14ac:dyDescent="0.3">
      <c r="A35" s="100" t="s">
        <v>545</v>
      </c>
      <c r="B35" s="101" t="s">
        <v>177</v>
      </c>
      <c r="C35" s="87">
        <v>1140974.9280000001</v>
      </c>
      <c r="D35" s="293">
        <v>513438.71760000003</v>
      </c>
      <c r="E35" s="294">
        <v>114097.49280000001</v>
      </c>
      <c r="F35" s="294">
        <v>513438.71760000003</v>
      </c>
      <c r="G35" s="295"/>
      <c r="H35" s="83">
        <f t="shared" si="1"/>
        <v>513438.71760000003</v>
      </c>
      <c r="I35" s="98">
        <f t="shared" si="2"/>
        <v>114097.49280000001</v>
      </c>
      <c r="J35" s="84">
        <f t="shared" si="3"/>
        <v>513438.71760000003</v>
      </c>
      <c r="K35" s="85"/>
      <c r="L35" s="86">
        <f t="shared" si="0"/>
        <v>513438.71760000003</v>
      </c>
      <c r="M35" s="99" t="s">
        <v>454</v>
      </c>
      <c r="N35" s="207"/>
      <c r="O35" s="207"/>
      <c r="P35" s="117"/>
      <c r="Q35" s="207"/>
    </row>
    <row r="36" spans="1:17" ht="14" x14ac:dyDescent="0.3">
      <c r="A36" s="100" t="s">
        <v>516</v>
      </c>
      <c r="B36" s="101" t="s">
        <v>517</v>
      </c>
      <c r="C36" s="87">
        <v>1103341.7150000001</v>
      </c>
      <c r="D36" s="293">
        <v>314452.388775</v>
      </c>
      <c r="E36" s="294">
        <v>99300.754350000003</v>
      </c>
      <c r="F36" s="294">
        <v>689588.57187500002</v>
      </c>
      <c r="G36" s="295" t="s">
        <v>852</v>
      </c>
      <c r="H36" s="83">
        <f>C36*0.285</f>
        <v>314452.388775</v>
      </c>
      <c r="I36" s="98">
        <f>C36*0.09</f>
        <v>99300.754350000003</v>
      </c>
      <c r="J36" s="84">
        <f>C36*0.625</f>
        <v>689588.57187500002</v>
      </c>
      <c r="K36" s="85"/>
      <c r="L36" s="86">
        <f t="shared" si="0"/>
        <v>689588.57187500002</v>
      </c>
      <c r="M36" s="99" t="s">
        <v>454</v>
      </c>
      <c r="N36" s="207"/>
      <c r="O36" s="207"/>
      <c r="P36" s="117"/>
      <c r="Q36" s="207"/>
    </row>
    <row r="37" spans="1:17" ht="14" x14ac:dyDescent="0.3">
      <c r="A37" s="100" t="s">
        <v>689</v>
      </c>
      <c r="B37" s="101" t="s">
        <v>253</v>
      </c>
      <c r="C37" s="87">
        <v>1096930.1910000001</v>
      </c>
      <c r="D37" s="293">
        <v>493618.58595000004</v>
      </c>
      <c r="E37" s="294">
        <v>109693.01910000002</v>
      </c>
      <c r="F37" s="294">
        <v>493618.58595000004</v>
      </c>
      <c r="G37" s="295"/>
      <c r="H37" s="83">
        <f t="shared" si="1"/>
        <v>493618.58595000004</v>
      </c>
      <c r="I37" s="98">
        <f t="shared" si="2"/>
        <v>109693.01910000002</v>
      </c>
      <c r="J37" s="84">
        <f t="shared" si="3"/>
        <v>493618.58595000004</v>
      </c>
      <c r="K37" s="85"/>
      <c r="L37" s="86">
        <f t="shared" si="0"/>
        <v>493618.58595000004</v>
      </c>
      <c r="M37" s="99" t="s">
        <v>454</v>
      </c>
      <c r="N37" s="207"/>
      <c r="O37" s="207"/>
      <c r="P37" s="117"/>
      <c r="Q37" s="207"/>
    </row>
    <row r="38" spans="1:17" ht="14" x14ac:dyDescent="0.3">
      <c r="A38" s="100" t="s">
        <v>530</v>
      </c>
      <c r="B38" s="101" t="s">
        <v>531</v>
      </c>
      <c r="C38" s="87">
        <v>1064974.5689999999</v>
      </c>
      <c r="D38" s="293">
        <v>479238.55604999996</v>
      </c>
      <c r="E38" s="294">
        <v>106497.45689999999</v>
      </c>
      <c r="F38" s="294">
        <v>479238.55604999996</v>
      </c>
      <c r="G38" s="295"/>
      <c r="H38" s="83">
        <f t="shared" si="1"/>
        <v>479238.55604999996</v>
      </c>
      <c r="I38" s="98">
        <f t="shared" si="2"/>
        <v>106497.45689999999</v>
      </c>
      <c r="J38" s="84">
        <f t="shared" si="3"/>
        <v>479238.55604999996</v>
      </c>
      <c r="K38" s="85"/>
      <c r="L38" s="86">
        <f t="shared" si="0"/>
        <v>479238.55604999996</v>
      </c>
      <c r="M38" s="99" t="s">
        <v>454</v>
      </c>
      <c r="N38" s="207"/>
      <c r="O38" s="207"/>
      <c r="P38" s="117"/>
      <c r="Q38" s="207"/>
    </row>
    <row r="39" spans="1:17" ht="14" x14ac:dyDescent="0.3">
      <c r="A39" s="100" t="s">
        <v>503</v>
      </c>
      <c r="B39" s="101" t="s">
        <v>360</v>
      </c>
      <c r="C39" s="87">
        <v>1013204.349</v>
      </c>
      <c r="D39" s="293">
        <v>455941.95705000003</v>
      </c>
      <c r="E39" s="294">
        <v>101320.43490000001</v>
      </c>
      <c r="F39" s="294">
        <v>455941.95705000003</v>
      </c>
      <c r="G39" s="295"/>
      <c r="H39" s="83">
        <f t="shared" si="1"/>
        <v>455941.95705000003</v>
      </c>
      <c r="I39" s="98">
        <f t="shared" si="2"/>
        <v>101320.43490000001</v>
      </c>
      <c r="J39" s="84">
        <f t="shared" si="3"/>
        <v>455941.95705000003</v>
      </c>
      <c r="K39" s="85"/>
      <c r="L39" s="86">
        <f t="shared" si="0"/>
        <v>455941.95705000003</v>
      </c>
      <c r="M39" s="99" t="s">
        <v>454</v>
      </c>
      <c r="N39" s="207"/>
      <c r="O39" s="207"/>
      <c r="P39" s="117"/>
      <c r="Q39" s="207"/>
    </row>
    <row r="40" spans="1:17" ht="14" x14ac:dyDescent="0.3">
      <c r="A40" s="100" t="s">
        <v>505</v>
      </c>
      <c r="B40" s="101" t="s">
        <v>506</v>
      </c>
      <c r="C40" s="87">
        <v>1003445.472</v>
      </c>
      <c r="D40" s="293">
        <v>100344.5472</v>
      </c>
      <c r="E40" s="294">
        <v>0</v>
      </c>
      <c r="F40" s="294">
        <v>903100.92479999992</v>
      </c>
      <c r="G40" s="295" t="s">
        <v>507</v>
      </c>
      <c r="H40" s="83">
        <f>C40*0.1</f>
        <v>100344.5472</v>
      </c>
      <c r="I40" s="98">
        <f>C40*0</f>
        <v>0</v>
      </c>
      <c r="J40" s="84">
        <f>C40*0.9</f>
        <v>903100.92479999992</v>
      </c>
      <c r="K40" s="85"/>
      <c r="L40" s="86">
        <f t="shared" si="0"/>
        <v>903100.92479999992</v>
      </c>
      <c r="M40" s="99" t="s">
        <v>454</v>
      </c>
      <c r="N40" s="207"/>
      <c r="O40" s="207"/>
      <c r="P40" s="117"/>
      <c r="Q40" s="207"/>
    </row>
    <row r="41" spans="1:17" ht="14" x14ac:dyDescent="0.3">
      <c r="A41" s="100" t="s">
        <v>831</v>
      </c>
      <c r="B41" s="101" t="s">
        <v>499</v>
      </c>
      <c r="C41" s="87">
        <v>988448.02049999998</v>
      </c>
      <c r="D41" s="293">
        <v>444801.60922500002</v>
      </c>
      <c r="E41" s="294">
        <v>98844.802049999998</v>
      </c>
      <c r="F41" s="294">
        <v>444801.60922500002</v>
      </c>
      <c r="G41" s="295"/>
      <c r="H41" s="83">
        <f t="shared" si="1"/>
        <v>444801.60922500002</v>
      </c>
      <c r="I41" s="98">
        <f t="shared" si="2"/>
        <v>98844.802049999998</v>
      </c>
      <c r="J41" s="84">
        <f t="shared" si="3"/>
        <v>444801.60922500002</v>
      </c>
      <c r="K41" s="85"/>
      <c r="L41" s="86">
        <f t="shared" si="0"/>
        <v>444801.60922500002</v>
      </c>
      <c r="M41" s="99" t="s">
        <v>454</v>
      </c>
      <c r="N41" s="207"/>
      <c r="O41" s="207"/>
      <c r="P41" s="117"/>
      <c r="Q41" s="207"/>
    </row>
    <row r="42" spans="1:17" ht="14" x14ac:dyDescent="0.3">
      <c r="A42" s="100" t="s">
        <v>504</v>
      </c>
      <c r="B42" s="101" t="s">
        <v>136</v>
      </c>
      <c r="C42" s="87">
        <v>973811.66249999998</v>
      </c>
      <c r="D42" s="293">
        <v>438215.24812499998</v>
      </c>
      <c r="E42" s="294">
        <v>97381.166250000009</v>
      </c>
      <c r="F42" s="294">
        <v>438215.24812499998</v>
      </c>
      <c r="G42" s="295"/>
      <c r="H42" s="83">
        <f t="shared" si="1"/>
        <v>438215.24812499998</v>
      </c>
      <c r="I42" s="98">
        <f t="shared" si="2"/>
        <v>97381.166250000009</v>
      </c>
      <c r="J42" s="84">
        <f t="shared" si="3"/>
        <v>438215.24812499998</v>
      </c>
      <c r="K42" s="85"/>
      <c r="L42" s="86">
        <f t="shared" si="0"/>
        <v>438215.24812499998</v>
      </c>
      <c r="M42" s="99" t="s">
        <v>454</v>
      </c>
      <c r="N42" s="207"/>
      <c r="O42" s="207"/>
      <c r="P42" s="117"/>
      <c r="Q42" s="207"/>
    </row>
    <row r="43" spans="1:17" ht="14" x14ac:dyDescent="0.3">
      <c r="A43" s="100" t="s">
        <v>508</v>
      </c>
      <c r="B43" s="101" t="s">
        <v>311</v>
      </c>
      <c r="C43" s="87">
        <v>972401.0895</v>
      </c>
      <c r="D43" s="293">
        <v>277134.31050749996</v>
      </c>
      <c r="E43" s="294">
        <v>87516.098054999995</v>
      </c>
      <c r="F43" s="294">
        <v>607750.68093749997</v>
      </c>
      <c r="G43" s="295" t="s">
        <v>852</v>
      </c>
      <c r="H43" s="83">
        <f>C43*0.285</f>
        <v>277134.31050749996</v>
      </c>
      <c r="I43" s="98">
        <f>C43*0.09</f>
        <v>87516.098054999995</v>
      </c>
      <c r="J43" s="84">
        <f>C43*0.625</f>
        <v>607750.68093749997</v>
      </c>
      <c r="K43" s="85"/>
      <c r="L43" s="86">
        <f t="shared" si="0"/>
        <v>607750.68093749997</v>
      </c>
      <c r="M43" s="99" t="s">
        <v>454</v>
      </c>
      <c r="N43" s="207"/>
      <c r="O43" s="207"/>
      <c r="P43" s="117"/>
      <c r="Q43" s="207"/>
    </row>
    <row r="44" spans="1:17" ht="14" x14ac:dyDescent="0.3">
      <c r="A44" s="100" t="s">
        <v>510</v>
      </c>
      <c r="B44" s="101" t="s">
        <v>145</v>
      </c>
      <c r="C44" s="87">
        <v>967937.90099999995</v>
      </c>
      <c r="D44" s="293">
        <v>435572.05544999999</v>
      </c>
      <c r="E44" s="294">
        <v>96793.790099999998</v>
      </c>
      <c r="F44" s="294">
        <v>435572.05544999999</v>
      </c>
      <c r="G44" s="295"/>
      <c r="H44" s="83">
        <f t="shared" si="1"/>
        <v>435572.05544999999</v>
      </c>
      <c r="I44" s="98">
        <f t="shared" si="2"/>
        <v>96793.790099999998</v>
      </c>
      <c r="J44" s="84">
        <f t="shared" si="3"/>
        <v>435572.05544999999</v>
      </c>
      <c r="K44" s="85"/>
      <c r="L44" s="86">
        <f t="shared" si="0"/>
        <v>435572.05544999999</v>
      </c>
      <c r="M44" s="99" t="s">
        <v>454</v>
      </c>
      <c r="N44" s="207"/>
      <c r="O44" s="207"/>
      <c r="P44" s="117"/>
      <c r="Q44" s="207"/>
    </row>
    <row r="45" spans="1:17" ht="14" x14ac:dyDescent="0.3">
      <c r="A45" s="100" t="s">
        <v>519</v>
      </c>
      <c r="B45" s="101" t="s">
        <v>147</v>
      </c>
      <c r="C45" s="87">
        <v>953664.59400000004</v>
      </c>
      <c r="D45" s="293">
        <v>429149.06730000005</v>
      </c>
      <c r="E45" s="294">
        <v>95366.459400000007</v>
      </c>
      <c r="F45" s="294">
        <v>429149.06730000005</v>
      </c>
      <c r="G45" s="295"/>
      <c r="H45" s="83">
        <f t="shared" si="1"/>
        <v>429149.06730000005</v>
      </c>
      <c r="I45" s="98">
        <f t="shared" si="2"/>
        <v>95366.459400000007</v>
      </c>
      <c r="J45" s="84">
        <f t="shared" si="3"/>
        <v>429149.06730000005</v>
      </c>
      <c r="K45" s="85"/>
      <c r="L45" s="86">
        <f t="shared" si="0"/>
        <v>429149.06730000005</v>
      </c>
      <c r="M45" s="99" t="s">
        <v>454</v>
      </c>
      <c r="N45" s="207"/>
      <c r="O45" s="207"/>
      <c r="P45" s="117"/>
      <c r="Q45" s="207"/>
    </row>
    <row r="46" spans="1:17" ht="14" x14ac:dyDescent="0.3">
      <c r="A46" s="100" t="s">
        <v>501</v>
      </c>
      <c r="B46" s="101" t="s">
        <v>502</v>
      </c>
      <c r="C46" s="87">
        <v>952211.45400000003</v>
      </c>
      <c r="D46" s="293">
        <v>271380.26438999997</v>
      </c>
      <c r="E46" s="294">
        <v>85699.030859999999</v>
      </c>
      <c r="F46" s="294">
        <v>595132.15875000006</v>
      </c>
      <c r="G46" s="295" t="s">
        <v>852</v>
      </c>
      <c r="H46" s="83">
        <f>C46*0.285</f>
        <v>271380.26438999997</v>
      </c>
      <c r="I46" s="98">
        <f>C46*0.09</f>
        <v>85699.030859999999</v>
      </c>
      <c r="J46" s="84">
        <f>C46*0.625</f>
        <v>595132.15875000006</v>
      </c>
      <c r="K46" s="85"/>
      <c r="L46" s="86">
        <f t="shared" si="0"/>
        <v>595132.15875000006</v>
      </c>
      <c r="M46" s="99" t="s">
        <v>454</v>
      </c>
      <c r="N46" s="207"/>
      <c r="O46" s="207"/>
      <c r="P46" s="117"/>
      <c r="Q46" s="207"/>
    </row>
    <row r="47" spans="1:17" ht="14" x14ac:dyDescent="0.3">
      <c r="A47" s="100" t="s">
        <v>526</v>
      </c>
      <c r="B47" s="101" t="s">
        <v>527</v>
      </c>
      <c r="C47" s="87">
        <v>938271.68400000001</v>
      </c>
      <c r="D47" s="293">
        <v>422222.25780000002</v>
      </c>
      <c r="E47" s="294">
        <v>93827.16840000001</v>
      </c>
      <c r="F47" s="294">
        <v>422222.25780000002</v>
      </c>
      <c r="G47" s="295"/>
      <c r="H47" s="83">
        <f t="shared" si="1"/>
        <v>422222.25780000002</v>
      </c>
      <c r="I47" s="98">
        <f t="shared" si="2"/>
        <v>93827.16840000001</v>
      </c>
      <c r="J47" s="84">
        <f t="shared" si="3"/>
        <v>422222.25780000002</v>
      </c>
      <c r="K47" s="85"/>
      <c r="L47" s="86">
        <f t="shared" si="0"/>
        <v>422222.25780000002</v>
      </c>
      <c r="M47" s="99" t="s">
        <v>454</v>
      </c>
      <c r="N47" s="207"/>
      <c r="O47" s="207"/>
      <c r="P47" s="117"/>
      <c r="Q47" s="207"/>
    </row>
    <row r="48" spans="1:17" ht="14" x14ac:dyDescent="0.3">
      <c r="A48" s="100" t="s">
        <v>514</v>
      </c>
      <c r="B48" s="101" t="s">
        <v>149</v>
      </c>
      <c r="C48" s="87">
        <v>890491.02300000004</v>
      </c>
      <c r="D48" s="293">
        <v>400720.96035000001</v>
      </c>
      <c r="E48" s="294">
        <v>89049.102300000013</v>
      </c>
      <c r="F48" s="294">
        <v>400720.96035000001</v>
      </c>
      <c r="G48" s="295"/>
      <c r="H48" s="83">
        <f t="shared" ref="H48:H58" si="7">C48*0.45</f>
        <v>400720.96035000001</v>
      </c>
      <c r="I48" s="98">
        <f t="shared" ref="I48:I58" si="8">C48*0.1</f>
        <v>89049.102300000013</v>
      </c>
      <c r="J48" s="84">
        <f t="shared" ref="J48:J58" si="9">C48*0.45</f>
        <v>400720.96035000001</v>
      </c>
      <c r="K48" s="85"/>
      <c r="L48" s="86">
        <f t="shared" si="0"/>
        <v>400720.96035000001</v>
      </c>
      <c r="M48" s="99" t="s">
        <v>454</v>
      </c>
      <c r="N48" s="207"/>
      <c r="O48" s="207"/>
      <c r="P48" s="117"/>
      <c r="Q48" s="207"/>
    </row>
    <row r="49" spans="1:17" ht="14" x14ac:dyDescent="0.3">
      <c r="A49" s="100" t="s">
        <v>512</v>
      </c>
      <c r="B49" s="101" t="s">
        <v>137</v>
      </c>
      <c r="C49" s="87">
        <v>855061.75199999998</v>
      </c>
      <c r="D49" s="293">
        <v>384777.78840000002</v>
      </c>
      <c r="E49" s="294">
        <v>85506.175199999998</v>
      </c>
      <c r="F49" s="294">
        <v>384777.78840000002</v>
      </c>
      <c r="G49" s="295"/>
      <c r="H49" s="83">
        <f t="shared" si="7"/>
        <v>384777.78840000002</v>
      </c>
      <c r="I49" s="98">
        <f t="shared" si="8"/>
        <v>85506.175199999998</v>
      </c>
      <c r="J49" s="84">
        <f t="shared" si="9"/>
        <v>384777.78840000002</v>
      </c>
      <c r="K49" s="85"/>
      <c r="L49" s="86">
        <f t="shared" ref="L49:L112" si="10">J49-K49</f>
        <v>384777.78840000002</v>
      </c>
      <c r="M49" s="99" t="s">
        <v>454</v>
      </c>
      <c r="N49" s="207"/>
      <c r="O49" s="207"/>
      <c r="P49" s="117"/>
      <c r="Q49" s="207"/>
    </row>
    <row r="50" spans="1:17" ht="14" x14ac:dyDescent="0.3">
      <c r="A50" s="100" t="s">
        <v>515</v>
      </c>
      <c r="B50" s="118" t="s">
        <v>167</v>
      </c>
      <c r="C50" s="87">
        <v>782709.15899999999</v>
      </c>
      <c r="D50" s="299">
        <v>352219.12154999998</v>
      </c>
      <c r="E50" s="300">
        <v>78270.915900000007</v>
      </c>
      <c r="F50" s="300">
        <v>352219.12154999998</v>
      </c>
      <c r="G50" s="301"/>
      <c r="H50" s="83">
        <f t="shared" si="7"/>
        <v>352219.12154999998</v>
      </c>
      <c r="I50" s="98">
        <f t="shared" si="8"/>
        <v>78270.915900000007</v>
      </c>
      <c r="J50" s="84">
        <f t="shared" si="9"/>
        <v>352219.12154999998</v>
      </c>
      <c r="K50" s="85"/>
      <c r="L50" s="86">
        <f t="shared" si="10"/>
        <v>352219.12154999998</v>
      </c>
      <c r="M50" s="305" t="s">
        <v>454</v>
      </c>
      <c r="N50" s="207"/>
      <c r="O50" s="207"/>
      <c r="P50" s="117"/>
      <c r="Q50" s="207"/>
    </row>
    <row r="51" spans="1:17" ht="14" x14ac:dyDescent="0.3">
      <c r="A51" s="100" t="s">
        <v>557</v>
      </c>
      <c r="B51" s="101" t="s">
        <v>197</v>
      </c>
      <c r="C51" s="87">
        <v>774240.83550000004</v>
      </c>
      <c r="D51" s="293">
        <v>348408.37597500003</v>
      </c>
      <c r="E51" s="294">
        <v>77424.08355000001</v>
      </c>
      <c r="F51" s="294">
        <v>348408.37597500003</v>
      </c>
      <c r="G51" s="295"/>
      <c r="H51" s="83">
        <f t="shared" si="7"/>
        <v>348408.37597500003</v>
      </c>
      <c r="I51" s="98">
        <f t="shared" si="8"/>
        <v>77424.08355000001</v>
      </c>
      <c r="J51" s="84">
        <f t="shared" si="9"/>
        <v>348408.37597500003</v>
      </c>
      <c r="K51" s="85"/>
      <c r="L51" s="86">
        <f t="shared" si="10"/>
        <v>348408.37597500003</v>
      </c>
      <c r="M51" s="99" t="s">
        <v>454</v>
      </c>
      <c r="N51" s="207"/>
      <c r="O51" s="207"/>
      <c r="P51" s="117"/>
      <c r="Q51" s="207"/>
    </row>
    <row r="52" spans="1:17" ht="14" x14ac:dyDescent="0.3">
      <c r="A52" s="100" t="s">
        <v>535</v>
      </c>
      <c r="B52" s="101" t="s">
        <v>536</v>
      </c>
      <c r="C52" s="87">
        <v>743620.929</v>
      </c>
      <c r="D52" s="293">
        <v>334629.41805000004</v>
      </c>
      <c r="E52" s="294">
        <v>74362.092900000003</v>
      </c>
      <c r="F52" s="294">
        <v>334629.41805000004</v>
      </c>
      <c r="G52" s="295"/>
      <c r="H52" s="83">
        <f t="shared" si="7"/>
        <v>334629.41805000004</v>
      </c>
      <c r="I52" s="98">
        <f t="shared" si="8"/>
        <v>74362.092900000003</v>
      </c>
      <c r="J52" s="84">
        <f t="shared" si="9"/>
        <v>334629.41805000004</v>
      </c>
      <c r="K52" s="85"/>
      <c r="L52" s="86">
        <f t="shared" si="10"/>
        <v>334629.41805000004</v>
      </c>
      <c r="M52" s="99" t="s">
        <v>454</v>
      </c>
      <c r="N52" s="207"/>
      <c r="O52" s="207"/>
      <c r="P52" s="117"/>
      <c r="Q52" s="207"/>
    </row>
    <row r="53" spans="1:17" ht="14" x14ac:dyDescent="0.3">
      <c r="A53" s="100" t="s">
        <v>750</v>
      </c>
      <c r="B53" s="101" t="s">
        <v>667</v>
      </c>
      <c r="C53" s="87">
        <v>730589.47349999996</v>
      </c>
      <c r="D53" s="293">
        <v>328765.26307499997</v>
      </c>
      <c r="E53" s="294">
        <v>73058.947350000002</v>
      </c>
      <c r="F53" s="294">
        <v>328765.26307499997</v>
      </c>
      <c r="G53" s="295"/>
      <c r="H53" s="83">
        <f t="shared" si="7"/>
        <v>328765.26307499997</v>
      </c>
      <c r="I53" s="98">
        <f t="shared" si="8"/>
        <v>73058.947350000002</v>
      </c>
      <c r="J53" s="84">
        <f t="shared" si="9"/>
        <v>328765.26307499997</v>
      </c>
      <c r="K53" s="85"/>
      <c r="L53" s="86">
        <f t="shared" si="10"/>
        <v>328765.26307499997</v>
      </c>
      <c r="M53" s="99" t="s">
        <v>454</v>
      </c>
      <c r="N53" s="207"/>
      <c r="O53" s="207"/>
      <c r="P53" s="117"/>
      <c r="Q53" s="207"/>
    </row>
    <row r="54" spans="1:17" ht="14" x14ac:dyDescent="0.3">
      <c r="A54" s="100" t="s">
        <v>785</v>
      </c>
      <c r="B54" s="101" t="s">
        <v>456</v>
      </c>
      <c r="C54" s="87">
        <v>719991.81599999999</v>
      </c>
      <c r="D54" s="293">
        <v>323996.31719999999</v>
      </c>
      <c r="E54" s="294">
        <v>71999.181599999996</v>
      </c>
      <c r="F54" s="294">
        <v>323996.31719999999</v>
      </c>
      <c r="G54" s="295"/>
      <c r="H54" s="83">
        <f t="shared" si="7"/>
        <v>323996.31719999999</v>
      </c>
      <c r="I54" s="98">
        <f t="shared" si="8"/>
        <v>71999.181599999996</v>
      </c>
      <c r="J54" s="84">
        <f t="shared" si="9"/>
        <v>323996.31719999999</v>
      </c>
      <c r="K54" s="85"/>
      <c r="L54" s="86">
        <f t="shared" si="10"/>
        <v>323996.31719999999</v>
      </c>
      <c r="M54" s="99" t="s">
        <v>454</v>
      </c>
      <c r="N54" s="207"/>
      <c r="O54" s="207"/>
      <c r="P54" s="117"/>
      <c r="Q54" s="207"/>
    </row>
    <row r="55" spans="1:17" ht="14" x14ac:dyDescent="0.3">
      <c r="A55" s="100" t="s">
        <v>835</v>
      </c>
      <c r="B55" s="101" t="s">
        <v>837</v>
      </c>
      <c r="C55" s="87">
        <v>707335.49100000004</v>
      </c>
      <c r="D55" s="293">
        <v>318300.97095000005</v>
      </c>
      <c r="E55" s="294">
        <v>70733.549100000004</v>
      </c>
      <c r="F55" s="294">
        <v>318300.97095000005</v>
      </c>
      <c r="G55" s="295"/>
      <c r="H55" s="83">
        <f t="shared" si="7"/>
        <v>318300.97095000005</v>
      </c>
      <c r="I55" s="98">
        <f t="shared" si="8"/>
        <v>70733.549100000004</v>
      </c>
      <c r="J55" s="84">
        <f t="shared" si="9"/>
        <v>318300.97095000005</v>
      </c>
      <c r="K55" s="85"/>
      <c r="L55" s="86">
        <f t="shared" si="10"/>
        <v>318300.97095000005</v>
      </c>
      <c r="M55" s="99" t="s">
        <v>454</v>
      </c>
      <c r="N55" s="207"/>
      <c r="O55" s="207"/>
      <c r="P55" s="117"/>
      <c r="Q55" s="207"/>
    </row>
    <row r="56" spans="1:17" ht="14" x14ac:dyDescent="0.3">
      <c r="A56" s="100" t="s">
        <v>591</v>
      </c>
      <c r="B56" s="101" t="s">
        <v>592</v>
      </c>
      <c r="C56" s="87">
        <v>700157.90399999998</v>
      </c>
      <c r="D56" s="293">
        <v>315071.05680000002</v>
      </c>
      <c r="E56" s="294">
        <v>70015.790399999998</v>
      </c>
      <c r="F56" s="294">
        <v>315071.05680000002</v>
      </c>
      <c r="G56" s="295"/>
      <c r="H56" s="83">
        <f t="shared" si="7"/>
        <v>315071.05680000002</v>
      </c>
      <c r="I56" s="98">
        <f t="shared" si="8"/>
        <v>70015.790399999998</v>
      </c>
      <c r="J56" s="84">
        <f t="shared" si="9"/>
        <v>315071.05680000002</v>
      </c>
      <c r="K56" s="85"/>
      <c r="L56" s="86">
        <f t="shared" si="10"/>
        <v>315071.05680000002</v>
      </c>
      <c r="M56" s="99" t="s">
        <v>454</v>
      </c>
      <c r="N56" s="207"/>
      <c r="O56" s="207"/>
      <c r="P56" s="117"/>
      <c r="Q56" s="207"/>
    </row>
    <row r="57" spans="1:17" ht="14" x14ac:dyDescent="0.3">
      <c r="A57" s="100" t="s">
        <v>520</v>
      </c>
      <c r="B57" s="101" t="s">
        <v>266</v>
      </c>
      <c r="C57" s="87">
        <v>681706.68299999996</v>
      </c>
      <c r="D57" s="293">
        <v>306768.00734999997</v>
      </c>
      <c r="E57" s="294">
        <v>68170.668300000005</v>
      </c>
      <c r="F57" s="294">
        <v>306768.00734999997</v>
      </c>
      <c r="G57" s="295"/>
      <c r="H57" s="83">
        <f t="shared" si="7"/>
        <v>306768.00734999997</v>
      </c>
      <c r="I57" s="98">
        <f t="shared" si="8"/>
        <v>68170.668300000005</v>
      </c>
      <c r="J57" s="84">
        <f t="shared" si="9"/>
        <v>306768.00734999997</v>
      </c>
      <c r="K57" s="85"/>
      <c r="L57" s="86">
        <f t="shared" si="10"/>
        <v>306768.00734999997</v>
      </c>
      <c r="M57" s="99" t="s">
        <v>454</v>
      </c>
      <c r="N57" s="207"/>
      <c r="O57" s="207"/>
      <c r="P57" s="117"/>
      <c r="Q57" s="207"/>
    </row>
    <row r="58" spans="1:17" ht="14" x14ac:dyDescent="0.3">
      <c r="A58" s="100" t="s">
        <v>830</v>
      </c>
      <c r="B58" s="101" t="s">
        <v>533</v>
      </c>
      <c r="C58" s="87">
        <v>679923.79200000002</v>
      </c>
      <c r="D58" s="293">
        <v>305965.70640000002</v>
      </c>
      <c r="E58" s="294">
        <v>67992.37920000001</v>
      </c>
      <c r="F58" s="294">
        <v>305965.70640000002</v>
      </c>
      <c r="G58" s="295"/>
      <c r="H58" s="83">
        <f t="shared" si="7"/>
        <v>305965.70640000002</v>
      </c>
      <c r="I58" s="98">
        <f t="shared" si="8"/>
        <v>67992.37920000001</v>
      </c>
      <c r="J58" s="84">
        <f t="shared" si="9"/>
        <v>305965.70640000002</v>
      </c>
      <c r="K58" s="85"/>
      <c r="L58" s="86">
        <f t="shared" si="10"/>
        <v>305965.70640000002</v>
      </c>
      <c r="M58" s="99" t="s">
        <v>454</v>
      </c>
      <c r="N58" s="207"/>
      <c r="O58" s="207"/>
      <c r="P58" s="117"/>
      <c r="Q58" s="207"/>
    </row>
    <row r="59" spans="1:17" ht="14" x14ac:dyDescent="0.3">
      <c r="A59" s="100" t="s">
        <v>583</v>
      </c>
      <c r="B59" s="101" t="s">
        <v>479</v>
      </c>
      <c r="C59" s="87">
        <v>667741.88800000004</v>
      </c>
      <c r="D59" s="293">
        <v>140225.79647999999</v>
      </c>
      <c r="E59" s="294">
        <v>60096.769919999999</v>
      </c>
      <c r="F59" s="294">
        <v>467419.32159999997</v>
      </c>
      <c r="G59" s="295" t="s">
        <v>854</v>
      </c>
      <c r="H59" s="83">
        <f>C59*0.21</f>
        <v>140225.79647999999</v>
      </c>
      <c r="I59" s="98">
        <f>C59*0.09</f>
        <v>60096.769919999999</v>
      </c>
      <c r="J59" s="84">
        <f>C59*0.7</f>
        <v>467419.32159999997</v>
      </c>
      <c r="K59" s="85"/>
      <c r="L59" s="86">
        <f t="shared" si="10"/>
        <v>467419.32159999997</v>
      </c>
      <c r="M59" s="99" t="s">
        <v>454</v>
      </c>
      <c r="N59" s="207"/>
      <c r="O59" s="207"/>
      <c r="P59" s="117"/>
      <c r="Q59" s="207"/>
    </row>
    <row r="60" spans="1:17" ht="14" x14ac:dyDescent="0.3">
      <c r="A60" s="100" t="s">
        <v>522</v>
      </c>
      <c r="B60" s="101" t="s">
        <v>160</v>
      </c>
      <c r="C60" s="87">
        <v>635517.6</v>
      </c>
      <c r="D60" s="293">
        <v>285982.92</v>
      </c>
      <c r="E60" s="294">
        <v>63551.76</v>
      </c>
      <c r="F60" s="294">
        <v>285982.92</v>
      </c>
      <c r="G60" s="295"/>
      <c r="H60" s="83">
        <f t="shared" ref="H60:H62" si="11">C60*0.45</f>
        <v>285982.92</v>
      </c>
      <c r="I60" s="98">
        <f t="shared" ref="I60:I62" si="12">C60*0.1</f>
        <v>63551.76</v>
      </c>
      <c r="J60" s="84">
        <f t="shared" ref="J60:J62" si="13">C60*0.45</f>
        <v>285982.92</v>
      </c>
      <c r="K60" s="85"/>
      <c r="L60" s="86">
        <f t="shared" si="10"/>
        <v>285982.92</v>
      </c>
      <c r="M60" s="99" t="s">
        <v>454</v>
      </c>
      <c r="N60" s="207"/>
      <c r="O60" s="207"/>
      <c r="P60" s="117"/>
      <c r="Q60" s="207"/>
    </row>
    <row r="61" spans="1:17" ht="14" x14ac:dyDescent="0.3">
      <c r="A61" s="100" t="s">
        <v>521</v>
      </c>
      <c r="B61" s="101" t="s">
        <v>206</v>
      </c>
      <c r="C61" s="87">
        <v>629032.35900000005</v>
      </c>
      <c r="D61" s="293">
        <v>283064.56155000004</v>
      </c>
      <c r="E61" s="294">
        <v>62903.235900000007</v>
      </c>
      <c r="F61" s="294">
        <v>283064.56155000004</v>
      </c>
      <c r="G61" s="295"/>
      <c r="H61" s="83">
        <f t="shared" si="11"/>
        <v>283064.56155000004</v>
      </c>
      <c r="I61" s="98">
        <f t="shared" si="12"/>
        <v>62903.235900000007</v>
      </c>
      <c r="J61" s="84">
        <f t="shared" si="13"/>
        <v>283064.56155000004</v>
      </c>
      <c r="K61" s="85"/>
      <c r="L61" s="86">
        <f t="shared" si="10"/>
        <v>283064.56155000004</v>
      </c>
      <c r="M61" s="99" t="s">
        <v>454</v>
      </c>
      <c r="N61" s="207"/>
      <c r="O61" s="207"/>
      <c r="P61" s="117"/>
      <c r="Q61" s="207"/>
    </row>
    <row r="62" spans="1:17" ht="14" x14ac:dyDescent="0.3">
      <c r="A62" s="100" t="s">
        <v>541</v>
      </c>
      <c r="B62" s="101" t="s">
        <v>166</v>
      </c>
      <c r="C62" s="87">
        <v>615183.43799999997</v>
      </c>
      <c r="D62" s="293">
        <v>276832.54709999997</v>
      </c>
      <c r="E62" s="294">
        <v>61518.343800000002</v>
      </c>
      <c r="F62" s="294">
        <v>276832.54709999997</v>
      </c>
      <c r="G62" s="295"/>
      <c r="H62" s="83">
        <f t="shared" si="11"/>
        <v>276832.54709999997</v>
      </c>
      <c r="I62" s="98">
        <f t="shared" si="12"/>
        <v>61518.343800000002</v>
      </c>
      <c r="J62" s="84">
        <f t="shared" si="13"/>
        <v>276832.54709999997</v>
      </c>
      <c r="K62" s="85"/>
      <c r="L62" s="86">
        <f t="shared" si="10"/>
        <v>276832.54709999997</v>
      </c>
      <c r="M62" s="99" t="s">
        <v>454</v>
      </c>
      <c r="N62" s="207"/>
      <c r="O62" s="207"/>
      <c r="P62" s="117"/>
      <c r="Q62" s="207"/>
    </row>
    <row r="63" spans="1:17" s="105" customFormat="1" ht="18.5" customHeight="1" x14ac:dyDescent="0.3">
      <c r="A63" s="100" t="s">
        <v>529</v>
      </c>
      <c r="B63" s="118" t="s">
        <v>137</v>
      </c>
      <c r="C63" s="87">
        <v>612778.88</v>
      </c>
      <c r="D63" s="299">
        <v>235919.8688</v>
      </c>
      <c r="E63" s="300">
        <v>55150.099199999997</v>
      </c>
      <c r="F63" s="300">
        <v>321708.91200000001</v>
      </c>
      <c r="G63" s="301" t="s">
        <v>853</v>
      </c>
      <c r="H63" s="83">
        <f>C63*0.385</f>
        <v>235919.8688</v>
      </c>
      <c r="I63" s="98">
        <f>C63*0.09</f>
        <v>55150.099199999997</v>
      </c>
      <c r="J63" s="84">
        <f>C63*0.525</f>
        <v>321708.91200000001</v>
      </c>
      <c r="K63" s="85"/>
      <c r="L63" s="86">
        <f t="shared" si="10"/>
        <v>321708.91200000001</v>
      </c>
      <c r="M63" s="99" t="s">
        <v>454</v>
      </c>
      <c r="N63" s="207"/>
      <c r="O63" s="207"/>
      <c r="P63" s="117"/>
      <c r="Q63" s="207"/>
    </row>
    <row r="64" spans="1:17" ht="14" x14ac:dyDescent="0.3">
      <c r="A64" s="100" t="s">
        <v>525</v>
      </c>
      <c r="B64" s="101" t="s">
        <v>193</v>
      </c>
      <c r="C64" s="87">
        <v>603583.64099999995</v>
      </c>
      <c r="D64" s="293">
        <v>271612.63844999997</v>
      </c>
      <c r="E64" s="294">
        <v>60358.364099999999</v>
      </c>
      <c r="F64" s="294">
        <v>271612.63844999997</v>
      </c>
      <c r="G64" s="295"/>
      <c r="H64" s="83">
        <f t="shared" ref="H64:H66" si="14">C64*0.45</f>
        <v>271612.63844999997</v>
      </c>
      <c r="I64" s="98">
        <f t="shared" ref="I64:I66" si="15">C64*0.1</f>
        <v>60358.364099999999</v>
      </c>
      <c r="J64" s="84">
        <f t="shared" ref="J64:J66" si="16">C64*0.45</f>
        <v>271612.63844999997</v>
      </c>
      <c r="K64" s="85"/>
      <c r="L64" s="86">
        <f t="shared" si="10"/>
        <v>271612.63844999997</v>
      </c>
      <c r="M64" s="99" t="s">
        <v>454</v>
      </c>
      <c r="N64" s="207"/>
      <c r="O64" s="207"/>
      <c r="P64" s="117"/>
      <c r="Q64" s="207"/>
    </row>
    <row r="65" spans="1:17" ht="14" x14ac:dyDescent="0.3">
      <c r="A65" s="100" t="s">
        <v>539</v>
      </c>
      <c r="B65" s="101" t="s">
        <v>150</v>
      </c>
      <c r="C65" s="87">
        <v>573814.76399999997</v>
      </c>
      <c r="D65" s="293">
        <v>258216.64379999999</v>
      </c>
      <c r="E65" s="294">
        <v>57381.4764</v>
      </c>
      <c r="F65" s="294">
        <v>258216.64379999999</v>
      </c>
      <c r="G65" s="295"/>
      <c r="H65" s="83">
        <f t="shared" si="14"/>
        <v>258216.64379999999</v>
      </c>
      <c r="I65" s="98">
        <f t="shared" si="15"/>
        <v>57381.4764</v>
      </c>
      <c r="J65" s="84">
        <f t="shared" si="16"/>
        <v>258216.64379999999</v>
      </c>
      <c r="K65" s="85"/>
      <c r="L65" s="86">
        <f t="shared" si="10"/>
        <v>258216.64379999999</v>
      </c>
      <c r="M65" s="99" t="s">
        <v>454</v>
      </c>
      <c r="N65" s="207"/>
      <c r="O65" s="207"/>
      <c r="P65" s="117"/>
      <c r="Q65" s="207"/>
    </row>
    <row r="66" spans="1:17" ht="14" x14ac:dyDescent="0.3">
      <c r="A66" s="100" t="s">
        <v>534</v>
      </c>
      <c r="B66" s="101" t="s">
        <v>194</v>
      </c>
      <c r="C66" s="87">
        <v>573700.70700000005</v>
      </c>
      <c r="D66" s="293">
        <v>258165.31815000004</v>
      </c>
      <c r="E66" s="294">
        <v>57370.070700000011</v>
      </c>
      <c r="F66" s="294">
        <v>258165.31815000004</v>
      </c>
      <c r="G66" s="295"/>
      <c r="H66" s="83">
        <f t="shared" si="14"/>
        <v>258165.31815000004</v>
      </c>
      <c r="I66" s="98">
        <f t="shared" si="15"/>
        <v>57370.070700000011</v>
      </c>
      <c r="J66" s="84">
        <f t="shared" si="16"/>
        <v>258165.31815000004</v>
      </c>
      <c r="K66" s="85"/>
      <c r="L66" s="86">
        <f t="shared" si="10"/>
        <v>258165.31815000004</v>
      </c>
      <c r="M66" s="99" t="s">
        <v>454</v>
      </c>
      <c r="N66" s="207"/>
      <c r="O66" s="207"/>
      <c r="P66" s="117"/>
      <c r="Q66" s="207"/>
    </row>
    <row r="67" spans="1:17" ht="14" x14ac:dyDescent="0.3">
      <c r="A67" s="100" t="s">
        <v>523</v>
      </c>
      <c r="B67" s="101" t="s">
        <v>524</v>
      </c>
      <c r="C67" s="87">
        <v>572859.40500000003</v>
      </c>
      <c r="D67" s="293">
        <v>163264.930425</v>
      </c>
      <c r="E67" s="294">
        <v>51557.346449999997</v>
      </c>
      <c r="F67" s="294">
        <v>358037.12812500005</v>
      </c>
      <c r="G67" s="295" t="s">
        <v>852</v>
      </c>
      <c r="H67" s="83">
        <f>C67*0.285</f>
        <v>163264.930425</v>
      </c>
      <c r="I67" s="98">
        <f>C67*0.09</f>
        <v>51557.346449999997</v>
      </c>
      <c r="J67" s="84">
        <f>C67*0.625</f>
        <v>358037.12812500005</v>
      </c>
      <c r="K67" s="85"/>
      <c r="L67" s="86">
        <f t="shared" si="10"/>
        <v>358037.12812500005</v>
      </c>
      <c r="M67" s="99" t="s">
        <v>454</v>
      </c>
      <c r="N67" s="207"/>
      <c r="O67" s="207"/>
      <c r="P67" s="117"/>
      <c r="Q67" s="207"/>
    </row>
    <row r="68" spans="1:17" ht="14" x14ac:dyDescent="0.3">
      <c r="A68" s="100" t="s">
        <v>688</v>
      </c>
      <c r="B68" s="101" t="s">
        <v>171</v>
      </c>
      <c r="C68" s="87">
        <v>570419.06700000004</v>
      </c>
      <c r="D68" s="293">
        <v>256688.58015000002</v>
      </c>
      <c r="E68" s="294">
        <v>57041.906700000007</v>
      </c>
      <c r="F68" s="294">
        <v>256688.58015000002</v>
      </c>
      <c r="G68" s="295"/>
      <c r="H68" s="83">
        <f t="shared" ref="H68:H78" si="17">C68*0.45</f>
        <v>256688.58015000002</v>
      </c>
      <c r="I68" s="98">
        <f t="shared" ref="I68:I78" si="18">C68*0.1</f>
        <v>57041.906700000007</v>
      </c>
      <c r="J68" s="84">
        <f t="shared" ref="J68:J78" si="19">C68*0.45</f>
        <v>256688.58015000002</v>
      </c>
      <c r="K68" s="85"/>
      <c r="L68" s="86">
        <f t="shared" si="10"/>
        <v>256688.58015000002</v>
      </c>
      <c r="M68" s="99" t="s">
        <v>454</v>
      </c>
      <c r="N68" s="207"/>
      <c r="O68" s="207"/>
      <c r="P68" s="117"/>
      <c r="Q68" s="207"/>
    </row>
    <row r="69" spans="1:17" ht="14" x14ac:dyDescent="0.3">
      <c r="A69" s="100" t="s">
        <v>532</v>
      </c>
      <c r="B69" s="101" t="s">
        <v>533</v>
      </c>
      <c r="C69" s="87">
        <v>565110.68850000005</v>
      </c>
      <c r="D69" s="293">
        <v>254299.80982500003</v>
      </c>
      <c r="E69" s="294">
        <v>56511.068850000011</v>
      </c>
      <c r="F69" s="294">
        <v>254299.80982500003</v>
      </c>
      <c r="G69" s="295"/>
      <c r="H69" s="83">
        <f t="shared" si="17"/>
        <v>254299.80982500003</v>
      </c>
      <c r="I69" s="98">
        <f t="shared" si="18"/>
        <v>56511.068850000011</v>
      </c>
      <c r="J69" s="84">
        <f t="shared" si="19"/>
        <v>254299.80982500003</v>
      </c>
      <c r="K69" s="85"/>
      <c r="L69" s="86">
        <f t="shared" si="10"/>
        <v>254299.80982500003</v>
      </c>
      <c r="M69" s="99" t="s">
        <v>454</v>
      </c>
      <c r="N69" s="207"/>
      <c r="O69" s="207"/>
      <c r="P69" s="117"/>
      <c r="Q69" s="207"/>
    </row>
    <row r="70" spans="1:17" ht="14" x14ac:dyDescent="0.3">
      <c r="A70" s="100" t="s">
        <v>544</v>
      </c>
      <c r="B70" s="101" t="s">
        <v>184</v>
      </c>
      <c r="C70" s="87">
        <v>518043.41399999999</v>
      </c>
      <c r="D70" s="293">
        <v>233119.53630000001</v>
      </c>
      <c r="E70" s="294">
        <v>51804.341400000005</v>
      </c>
      <c r="F70" s="294">
        <v>233119.53630000001</v>
      </c>
      <c r="G70" s="295"/>
      <c r="H70" s="83">
        <f t="shared" si="17"/>
        <v>233119.53630000001</v>
      </c>
      <c r="I70" s="98">
        <f t="shared" si="18"/>
        <v>51804.341400000005</v>
      </c>
      <c r="J70" s="84">
        <f t="shared" si="19"/>
        <v>233119.53630000001</v>
      </c>
      <c r="K70" s="85"/>
      <c r="L70" s="86">
        <f t="shared" si="10"/>
        <v>233119.53630000001</v>
      </c>
      <c r="M70" s="99" t="s">
        <v>454</v>
      </c>
      <c r="N70" s="207"/>
      <c r="O70" s="207"/>
      <c r="P70" s="117"/>
      <c r="Q70" s="207"/>
    </row>
    <row r="71" spans="1:17" ht="14" x14ac:dyDescent="0.3">
      <c r="A71" s="100" t="s">
        <v>543</v>
      </c>
      <c r="B71" s="101" t="s">
        <v>170</v>
      </c>
      <c r="C71" s="87">
        <v>516556.14899999998</v>
      </c>
      <c r="D71" s="293">
        <v>232450.26704999999</v>
      </c>
      <c r="E71" s="294">
        <v>51655.6149</v>
      </c>
      <c r="F71" s="294">
        <v>232450.26704999999</v>
      </c>
      <c r="G71" s="295"/>
      <c r="H71" s="83">
        <f t="shared" si="17"/>
        <v>232450.26704999999</v>
      </c>
      <c r="I71" s="98">
        <f t="shared" si="18"/>
        <v>51655.6149</v>
      </c>
      <c r="J71" s="84">
        <f t="shared" si="19"/>
        <v>232450.26704999999</v>
      </c>
      <c r="K71" s="85"/>
      <c r="L71" s="86">
        <f t="shared" si="10"/>
        <v>232450.26704999999</v>
      </c>
      <c r="M71" s="99" t="s">
        <v>454</v>
      </c>
      <c r="N71" s="207"/>
      <c r="O71" s="207"/>
      <c r="P71" s="117"/>
      <c r="Q71" s="207"/>
    </row>
    <row r="72" spans="1:17" ht="14" x14ac:dyDescent="0.3">
      <c r="A72" s="100" t="s">
        <v>547</v>
      </c>
      <c r="B72" s="101" t="s">
        <v>173</v>
      </c>
      <c r="C72" s="87">
        <v>506309.02799999999</v>
      </c>
      <c r="D72" s="293">
        <v>227839.0626</v>
      </c>
      <c r="E72" s="294">
        <v>50630.902800000003</v>
      </c>
      <c r="F72" s="294">
        <v>227839.0626</v>
      </c>
      <c r="G72" s="295"/>
      <c r="H72" s="83">
        <f t="shared" si="17"/>
        <v>227839.0626</v>
      </c>
      <c r="I72" s="98">
        <f t="shared" si="18"/>
        <v>50630.902800000003</v>
      </c>
      <c r="J72" s="84">
        <f t="shared" si="19"/>
        <v>227839.0626</v>
      </c>
      <c r="K72" s="85"/>
      <c r="L72" s="86">
        <f t="shared" si="10"/>
        <v>227839.0626</v>
      </c>
      <c r="M72" s="99" t="s">
        <v>454</v>
      </c>
      <c r="N72" s="207"/>
      <c r="O72" s="207"/>
      <c r="P72" s="117"/>
      <c r="Q72" s="207"/>
    </row>
    <row r="73" spans="1:17" ht="14" x14ac:dyDescent="0.3">
      <c r="A73" s="100" t="s">
        <v>548</v>
      </c>
      <c r="B73" s="101" t="s">
        <v>175</v>
      </c>
      <c r="C73" s="87">
        <v>493110.43199999997</v>
      </c>
      <c r="D73" s="293">
        <v>221899.69439999998</v>
      </c>
      <c r="E73" s="294">
        <v>49311.0432</v>
      </c>
      <c r="F73" s="294">
        <v>221899.69439999998</v>
      </c>
      <c r="G73" s="295"/>
      <c r="H73" s="83">
        <f t="shared" si="17"/>
        <v>221899.69439999998</v>
      </c>
      <c r="I73" s="98">
        <f t="shared" si="18"/>
        <v>49311.0432</v>
      </c>
      <c r="J73" s="84">
        <f t="shared" si="19"/>
        <v>221899.69439999998</v>
      </c>
      <c r="K73" s="85"/>
      <c r="L73" s="86">
        <f t="shared" si="10"/>
        <v>221899.69439999998</v>
      </c>
      <c r="M73" s="99" t="s">
        <v>454</v>
      </c>
      <c r="N73" s="207"/>
      <c r="O73" s="207"/>
      <c r="P73" s="117"/>
      <c r="Q73" s="207"/>
    </row>
    <row r="74" spans="1:17" ht="14" x14ac:dyDescent="0.3">
      <c r="A74" s="100" t="s">
        <v>528</v>
      </c>
      <c r="B74" s="101" t="s">
        <v>211</v>
      </c>
      <c r="C74" s="87">
        <v>473438.60100000002</v>
      </c>
      <c r="D74" s="293">
        <v>213047.37045000002</v>
      </c>
      <c r="E74" s="294">
        <v>47343.860100000005</v>
      </c>
      <c r="F74" s="294">
        <v>213047.37045000002</v>
      </c>
      <c r="G74" s="295"/>
      <c r="H74" s="83">
        <f t="shared" si="17"/>
        <v>213047.37045000002</v>
      </c>
      <c r="I74" s="98">
        <f t="shared" si="18"/>
        <v>47343.860100000005</v>
      </c>
      <c r="J74" s="84">
        <f t="shared" si="19"/>
        <v>213047.37045000002</v>
      </c>
      <c r="K74" s="85"/>
      <c r="L74" s="86">
        <f t="shared" si="10"/>
        <v>213047.37045000002</v>
      </c>
      <c r="M74" s="99" t="s">
        <v>454</v>
      </c>
      <c r="N74" s="207"/>
      <c r="O74" s="207"/>
      <c r="P74" s="117"/>
      <c r="Q74" s="207"/>
    </row>
    <row r="75" spans="1:17" ht="14" x14ac:dyDescent="0.3">
      <c r="A75" s="100" t="s">
        <v>542</v>
      </c>
      <c r="B75" s="101" t="s">
        <v>179</v>
      </c>
      <c r="C75" s="87">
        <v>459635.70299999998</v>
      </c>
      <c r="D75" s="293">
        <v>206836.06635000001</v>
      </c>
      <c r="E75" s="294">
        <v>45963.570299999999</v>
      </c>
      <c r="F75" s="294">
        <v>206836.06635000001</v>
      </c>
      <c r="G75" s="295"/>
      <c r="H75" s="83">
        <f t="shared" si="17"/>
        <v>206836.06635000001</v>
      </c>
      <c r="I75" s="98">
        <f t="shared" si="18"/>
        <v>45963.570299999999</v>
      </c>
      <c r="J75" s="84">
        <f t="shared" si="19"/>
        <v>206836.06635000001</v>
      </c>
      <c r="K75" s="85"/>
      <c r="L75" s="86">
        <f t="shared" si="10"/>
        <v>206836.06635000001</v>
      </c>
      <c r="M75" s="99" t="s">
        <v>454</v>
      </c>
      <c r="N75" s="207"/>
      <c r="O75" s="207"/>
      <c r="P75" s="117"/>
      <c r="Q75" s="207"/>
    </row>
    <row r="76" spans="1:17" ht="14" x14ac:dyDescent="0.3">
      <c r="A76" s="100" t="s">
        <v>698</v>
      </c>
      <c r="B76" s="101" t="s">
        <v>148</v>
      </c>
      <c r="C76" s="87">
        <v>454517.14500000002</v>
      </c>
      <c r="D76" s="293">
        <v>204532.71525000001</v>
      </c>
      <c r="E76" s="294">
        <v>45451.714500000002</v>
      </c>
      <c r="F76" s="294">
        <v>204532.71525000001</v>
      </c>
      <c r="G76" s="295"/>
      <c r="H76" s="83">
        <f t="shared" si="17"/>
        <v>204532.71525000001</v>
      </c>
      <c r="I76" s="98">
        <f t="shared" si="18"/>
        <v>45451.714500000002</v>
      </c>
      <c r="J76" s="84">
        <f t="shared" si="19"/>
        <v>204532.71525000001</v>
      </c>
      <c r="K76" s="85"/>
      <c r="L76" s="86">
        <f t="shared" si="10"/>
        <v>204532.71525000001</v>
      </c>
      <c r="M76" s="99" t="s">
        <v>454</v>
      </c>
      <c r="N76" s="207"/>
      <c r="O76" s="207"/>
      <c r="P76" s="117"/>
      <c r="Q76" s="207"/>
    </row>
    <row r="77" spans="1:17" ht="14" x14ac:dyDescent="0.3">
      <c r="A77" s="100" t="s">
        <v>550</v>
      </c>
      <c r="B77" s="101" t="s">
        <v>551</v>
      </c>
      <c r="C77" s="87">
        <v>450016.89600000001</v>
      </c>
      <c r="D77" s="293">
        <v>202507.60320000001</v>
      </c>
      <c r="E77" s="294">
        <v>45001.689600000005</v>
      </c>
      <c r="F77" s="294">
        <v>202507.60320000001</v>
      </c>
      <c r="G77" s="295"/>
      <c r="H77" s="83">
        <f t="shared" si="17"/>
        <v>202507.60320000001</v>
      </c>
      <c r="I77" s="98">
        <f t="shared" si="18"/>
        <v>45001.689600000005</v>
      </c>
      <c r="J77" s="84">
        <f t="shared" si="19"/>
        <v>202507.60320000001</v>
      </c>
      <c r="K77" s="85"/>
      <c r="L77" s="86">
        <f t="shared" si="10"/>
        <v>202507.60320000001</v>
      </c>
      <c r="M77" s="99" t="s">
        <v>454</v>
      </c>
      <c r="N77" s="207"/>
      <c r="O77" s="207"/>
      <c r="P77" s="117"/>
      <c r="Q77" s="207"/>
    </row>
    <row r="78" spans="1:17" ht="14" x14ac:dyDescent="0.3">
      <c r="A78" s="100" t="s">
        <v>558</v>
      </c>
      <c r="B78" s="101" t="s">
        <v>559</v>
      </c>
      <c r="C78" s="87">
        <v>447483.63</v>
      </c>
      <c r="D78" s="293">
        <v>201367.6335</v>
      </c>
      <c r="E78" s="294">
        <v>44748.363000000005</v>
      </c>
      <c r="F78" s="294">
        <v>201367.6335</v>
      </c>
      <c r="G78" s="295"/>
      <c r="H78" s="83">
        <f t="shared" si="17"/>
        <v>201367.6335</v>
      </c>
      <c r="I78" s="98">
        <f t="shared" si="18"/>
        <v>44748.363000000005</v>
      </c>
      <c r="J78" s="84">
        <f t="shared" si="19"/>
        <v>201367.6335</v>
      </c>
      <c r="K78" s="85"/>
      <c r="L78" s="86">
        <f t="shared" si="10"/>
        <v>201367.6335</v>
      </c>
      <c r="M78" s="99" t="s">
        <v>454</v>
      </c>
      <c r="N78" s="207"/>
      <c r="O78" s="207"/>
      <c r="P78" s="117"/>
      <c r="Q78" s="207"/>
    </row>
    <row r="79" spans="1:17" ht="14" x14ac:dyDescent="0.3">
      <c r="A79" s="100" t="s">
        <v>605</v>
      </c>
      <c r="B79" s="101" t="s">
        <v>480</v>
      </c>
      <c r="C79" s="87">
        <v>445647.011</v>
      </c>
      <c r="D79" s="293">
        <v>138150.57341000001</v>
      </c>
      <c r="E79" s="294">
        <v>40108.230989999996</v>
      </c>
      <c r="F79" s="294">
        <v>267388.20659999998</v>
      </c>
      <c r="G79" s="295" t="s">
        <v>855</v>
      </c>
      <c r="H79" s="83">
        <f>C79*0.31</f>
        <v>138150.57341000001</v>
      </c>
      <c r="I79" s="98">
        <f>C79*0.09</f>
        <v>40108.230989999996</v>
      </c>
      <c r="J79" s="84">
        <f>C79*0.6</f>
        <v>267388.20659999998</v>
      </c>
      <c r="K79" s="85"/>
      <c r="L79" s="86">
        <f t="shared" si="10"/>
        <v>267388.20659999998</v>
      </c>
      <c r="M79" s="99" t="s">
        <v>454</v>
      </c>
      <c r="N79" s="207"/>
      <c r="O79" s="207"/>
      <c r="P79" s="117"/>
      <c r="Q79" s="207"/>
    </row>
    <row r="80" spans="1:17" ht="14" x14ac:dyDescent="0.3">
      <c r="A80" s="100" t="s">
        <v>553</v>
      </c>
      <c r="B80" s="101" t="s">
        <v>479</v>
      </c>
      <c r="C80" s="87">
        <v>444966.37199999997</v>
      </c>
      <c r="D80" s="293">
        <v>93442.938119999992</v>
      </c>
      <c r="E80" s="294">
        <v>40046.973479999993</v>
      </c>
      <c r="F80" s="294">
        <v>311476.46039999998</v>
      </c>
      <c r="G80" s="295" t="s">
        <v>854</v>
      </c>
      <c r="H80" s="83">
        <f>C80*0.21</f>
        <v>93442.938119999992</v>
      </c>
      <c r="I80" s="98">
        <f>C80*0.09</f>
        <v>40046.973479999993</v>
      </c>
      <c r="J80" s="84">
        <f>C80*0.7</f>
        <v>311476.46039999998</v>
      </c>
      <c r="K80" s="85"/>
      <c r="L80" s="86">
        <f t="shared" si="10"/>
        <v>311476.46039999998</v>
      </c>
      <c r="M80" s="99" t="s">
        <v>454</v>
      </c>
      <c r="N80" s="207"/>
      <c r="O80" s="207"/>
      <c r="P80" s="117"/>
      <c r="Q80" s="207"/>
    </row>
    <row r="81" spans="1:17" ht="14" x14ac:dyDescent="0.3">
      <c r="A81" s="100" t="s">
        <v>836</v>
      </c>
      <c r="B81" s="101" t="s">
        <v>859</v>
      </c>
      <c r="C81" s="87">
        <v>435805.79399999999</v>
      </c>
      <c r="D81" s="293">
        <v>196112.6073</v>
      </c>
      <c r="E81" s="294">
        <v>43580.579400000002</v>
      </c>
      <c r="F81" s="294">
        <v>196112.6073</v>
      </c>
      <c r="G81" s="295"/>
      <c r="H81" s="83">
        <f t="shared" ref="H81:H94" si="20">C81*0.45</f>
        <v>196112.6073</v>
      </c>
      <c r="I81" s="98">
        <f t="shared" ref="I81:I94" si="21">C81*0.1</f>
        <v>43580.579400000002</v>
      </c>
      <c r="J81" s="84">
        <f t="shared" ref="J81:J94" si="22">C81*0.45</f>
        <v>196112.6073</v>
      </c>
      <c r="K81" s="85"/>
      <c r="L81" s="86">
        <f t="shared" si="10"/>
        <v>196112.6073</v>
      </c>
      <c r="M81" s="99" t="s">
        <v>454</v>
      </c>
      <c r="N81" s="207"/>
      <c r="O81" s="207"/>
      <c r="P81" s="117"/>
      <c r="Q81" s="207"/>
    </row>
    <row r="82" spans="1:17" ht="14" x14ac:dyDescent="0.3">
      <c r="A82" s="100" t="s">
        <v>575</v>
      </c>
      <c r="B82" s="101" t="s">
        <v>225</v>
      </c>
      <c r="C82" s="87">
        <v>429116.451</v>
      </c>
      <c r="D82" s="293">
        <v>193102.40295000002</v>
      </c>
      <c r="E82" s="294">
        <v>42911.645100000002</v>
      </c>
      <c r="F82" s="294">
        <v>193102.40295000002</v>
      </c>
      <c r="G82" s="295"/>
      <c r="H82" s="83">
        <f t="shared" si="20"/>
        <v>193102.40295000002</v>
      </c>
      <c r="I82" s="98">
        <f t="shared" si="21"/>
        <v>42911.645100000002</v>
      </c>
      <c r="J82" s="84">
        <f t="shared" si="22"/>
        <v>193102.40295000002</v>
      </c>
      <c r="K82" s="85"/>
      <c r="L82" s="86">
        <f t="shared" si="10"/>
        <v>193102.40295000002</v>
      </c>
      <c r="M82" s="99" t="s">
        <v>454</v>
      </c>
      <c r="N82" s="207"/>
      <c r="O82" s="207"/>
      <c r="P82" s="117"/>
      <c r="Q82" s="207"/>
    </row>
    <row r="83" spans="1:17" ht="14" x14ac:dyDescent="0.3">
      <c r="A83" s="100" t="s">
        <v>518</v>
      </c>
      <c r="B83" s="101" t="s">
        <v>150</v>
      </c>
      <c r="C83" s="87">
        <v>415127.54700000002</v>
      </c>
      <c r="D83" s="293">
        <v>186807.39615000002</v>
      </c>
      <c r="E83" s="294">
        <v>41512.754700000005</v>
      </c>
      <c r="F83" s="294">
        <v>186807.39615000002</v>
      </c>
      <c r="G83" s="295"/>
      <c r="H83" s="83">
        <f t="shared" si="20"/>
        <v>186807.39615000002</v>
      </c>
      <c r="I83" s="98">
        <f t="shared" si="21"/>
        <v>41512.754700000005</v>
      </c>
      <c r="J83" s="84">
        <f t="shared" si="22"/>
        <v>186807.39615000002</v>
      </c>
      <c r="K83" s="85"/>
      <c r="L83" s="86">
        <f t="shared" si="10"/>
        <v>186807.39615000002</v>
      </c>
      <c r="M83" s="99" t="s">
        <v>454</v>
      </c>
      <c r="N83" s="207"/>
      <c r="O83" s="207"/>
      <c r="P83" s="117"/>
      <c r="Q83" s="207"/>
    </row>
    <row r="84" spans="1:17" ht="14" x14ac:dyDescent="0.3">
      <c r="A84" s="100" t="s">
        <v>574</v>
      </c>
      <c r="B84" s="101" t="s">
        <v>216</v>
      </c>
      <c r="C84" s="87">
        <v>408534.16499999998</v>
      </c>
      <c r="D84" s="293">
        <v>183840.37424999999</v>
      </c>
      <c r="E84" s="294">
        <v>40853.416499999999</v>
      </c>
      <c r="F84" s="294">
        <v>183840.37424999999</v>
      </c>
      <c r="G84" s="295"/>
      <c r="H84" s="83">
        <f t="shared" si="20"/>
        <v>183840.37424999999</v>
      </c>
      <c r="I84" s="98">
        <f t="shared" si="21"/>
        <v>40853.416499999999</v>
      </c>
      <c r="J84" s="84">
        <f t="shared" si="22"/>
        <v>183840.37424999999</v>
      </c>
      <c r="K84" s="85"/>
      <c r="L84" s="86">
        <f t="shared" si="10"/>
        <v>183840.37424999999</v>
      </c>
      <c r="M84" s="99" t="s">
        <v>454</v>
      </c>
      <c r="N84" s="207"/>
      <c r="O84" s="207"/>
      <c r="P84" s="117"/>
      <c r="Q84" s="207"/>
    </row>
    <row r="85" spans="1:17" ht="14" x14ac:dyDescent="0.3">
      <c r="A85" s="100" t="s">
        <v>626</v>
      </c>
      <c r="B85" s="101" t="s">
        <v>214</v>
      </c>
      <c r="C85" s="87">
        <v>403701.75</v>
      </c>
      <c r="D85" s="293">
        <v>181665.78750000001</v>
      </c>
      <c r="E85" s="294">
        <v>40370.175000000003</v>
      </c>
      <c r="F85" s="294">
        <v>181665.78750000001</v>
      </c>
      <c r="G85" s="295"/>
      <c r="H85" s="83">
        <f t="shared" si="20"/>
        <v>181665.78750000001</v>
      </c>
      <c r="I85" s="98">
        <f t="shared" si="21"/>
        <v>40370.175000000003</v>
      </c>
      <c r="J85" s="84">
        <f t="shared" si="22"/>
        <v>181665.78750000001</v>
      </c>
      <c r="K85" s="85"/>
      <c r="L85" s="86">
        <f t="shared" si="10"/>
        <v>181665.78750000001</v>
      </c>
      <c r="M85" s="99" t="s">
        <v>454</v>
      </c>
      <c r="N85" s="207"/>
      <c r="O85" s="207"/>
      <c r="P85" s="117"/>
      <c r="Q85" s="207"/>
    </row>
    <row r="86" spans="1:17" ht="14" x14ac:dyDescent="0.3">
      <c r="A86" s="100" t="s">
        <v>563</v>
      </c>
      <c r="B86" s="101" t="s">
        <v>158</v>
      </c>
      <c r="C86" s="87">
        <v>402451.125</v>
      </c>
      <c r="D86" s="293">
        <v>181103.00625000001</v>
      </c>
      <c r="E86" s="294">
        <v>40245.112500000003</v>
      </c>
      <c r="F86" s="294">
        <v>181103.00625000001</v>
      </c>
      <c r="G86" s="295"/>
      <c r="H86" s="83">
        <f t="shared" si="20"/>
        <v>181103.00625000001</v>
      </c>
      <c r="I86" s="98">
        <f t="shared" si="21"/>
        <v>40245.112500000003</v>
      </c>
      <c r="J86" s="84">
        <f t="shared" si="22"/>
        <v>181103.00625000001</v>
      </c>
      <c r="K86" s="85"/>
      <c r="L86" s="86">
        <f t="shared" si="10"/>
        <v>181103.00625000001</v>
      </c>
      <c r="M86" s="99" t="s">
        <v>454</v>
      </c>
      <c r="N86" s="207"/>
      <c r="O86" s="207"/>
      <c r="P86" s="117"/>
      <c r="Q86" s="207"/>
    </row>
    <row r="87" spans="1:17" s="105" customFormat="1" ht="14" customHeight="1" x14ac:dyDescent="0.3">
      <c r="A87" s="100" t="s">
        <v>562</v>
      </c>
      <c r="B87" s="118" t="s">
        <v>301</v>
      </c>
      <c r="C87" s="87">
        <v>399521.66100000002</v>
      </c>
      <c r="D87" s="299">
        <v>179784.74745000002</v>
      </c>
      <c r="E87" s="300">
        <v>39952.166100000002</v>
      </c>
      <c r="F87" s="300">
        <v>179784.74745000002</v>
      </c>
      <c r="G87" s="301"/>
      <c r="H87" s="83">
        <f t="shared" si="20"/>
        <v>179784.74745000002</v>
      </c>
      <c r="I87" s="98">
        <f t="shared" si="21"/>
        <v>39952.166100000002</v>
      </c>
      <c r="J87" s="84">
        <f t="shared" si="22"/>
        <v>179784.74745000002</v>
      </c>
      <c r="K87" s="85"/>
      <c r="L87" s="86">
        <f t="shared" si="10"/>
        <v>179784.74745000002</v>
      </c>
      <c r="M87" s="99" t="s">
        <v>454</v>
      </c>
      <c r="N87" s="207"/>
      <c r="O87" s="207"/>
      <c r="P87" s="117"/>
      <c r="Q87" s="207"/>
    </row>
    <row r="88" spans="1:17" ht="14" x14ac:dyDescent="0.3">
      <c r="A88" s="100" t="s">
        <v>556</v>
      </c>
      <c r="B88" s="101" t="s">
        <v>165</v>
      </c>
      <c r="C88" s="87">
        <v>397932.86700000003</v>
      </c>
      <c r="D88" s="293">
        <v>179069.79015000002</v>
      </c>
      <c r="E88" s="294">
        <v>39793.286700000004</v>
      </c>
      <c r="F88" s="294">
        <v>179069.79015000002</v>
      </c>
      <c r="G88" s="295"/>
      <c r="H88" s="83">
        <f t="shared" si="20"/>
        <v>179069.79015000002</v>
      </c>
      <c r="I88" s="98">
        <f t="shared" si="21"/>
        <v>39793.286700000004</v>
      </c>
      <c r="J88" s="84">
        <f t="shared" si="22"/>
        <v>179069.79015000002</v>
      </c>
      <c r="K88" s="85"/>
      <c r="L88" s="86">
        <f t="shared" si="10"/>
        <v>179069.79015000002</v>
      </c>
      <c r="M88" s="99" t="s">
        <v>454</v>
      </c>
      <c r="N88" s="207"/>
      <c r="O88" s="207"/>
      <c r="P88" s="117"/>
      <c r="Q88" s="207"/>
    </row>
    <row r="89" spans="1:17" ht="14" x14ac:dyDescent="0.3">
      <c r="A89" s="100" t="s">
        <v>572</v>
      </c>
      <c r="B89" s="101" t="s">
        <v>159</v>
      </c>
      <c r="C89" s="87">
        <v>387525.66600000003</v>
      </c>
      <c r="D89" s="293">
        <v>174386.5497</v>
      </c>
      <c r="E89" s="294">
        <v>38752.566600000006</v>
      </c>
      <c r="F89" s="294">
        <v>174386.5497</v>
      </c>
      <c r="G89" s="295"/>
      <c r="H89" s="83">
        <f t="shared" si="20"/>
        <v>174386.5497</v>
      </c>
      <c r="I89" s="98">
        <f t="shared" si="21"/>
        <v>38752.566600000006</v>
      </c>
      <c r="J89" s="84">
        <f t="shared" si="22"/>
        <v>174386.5497</v>
      </c>
      <c r="K89" s="85"/>
      <c r="L89" s="86">
        <f t="shared" si="10"/>
        <v>174386.5497</v>
      </c>
      <c r="M89" s="99" t="s">
        <v>454</v>
      </c>
      <c r="N89" s="207"/>
      <c r="O89" s="207"/>
      <c r="P89" s="117"/>
      <c r="Q89" s="207"/>
    </row>
    <row r="90" spans="1:17" ht="14" x14ac:dyDescent="0.3">
      <c r="A90" s="100" t="s">
        <v>567</v>
      </c>
      <c r="B90" s="101" t="s">
        <v>156</v>
      </c>
      <c r="C90" s="87">
        <v>379840.26</v>
      </c>
      <c r="D90" s="293">
        <v>170928.117</v>
      </c>
      <c r="E90" s="294">
        <v>37984.026000000005</v>
      </c>
      <c r="F90" s="294">
        <v>170928.117</v>
      </c>
      <c r="G90" s="295"/>
      <c r="H90" s="83">
        <f t="shared" si="20"/>
        <v>170928.117</v>
      </c>
      <c r="I90" s="98">
        <f t="shared" si="21"/>
        <v>37984.026000000005</v>
      </c>
      <c r="J90" s="84">
        <f t="shared" si="22"/>
        <v>170928.117</v>
      </c>
      <c r="K90" s="85"/>
      <c r="L90" s="86">
        <f t="shared" si="10"/>
        <v>170928.117</v>
      </c>
      <c r="M90" s="99" t="s">
        <v>454</v>
      </c>
      <c r="N90" s="207"/>
      <c r="O90" s="207"/>
      <c r="P90" s="117"/>
      <c r="Q90" s="207"/>
    </row>
    <row r="91" spans="1:17" s="105" customFormat="1" ht="14" x14ac:dyDescent="0.3">
      <c r="A91" s="100" t="s">
        <v>554</v>
      </c>
      <c r="B91" s="118" t="s">
        <v>555</v>
      </c>
      <c r="C91" s="87">
        <v>378309.06</v>
      </c>
      <c r="D91" s="299">
        <v>170239.07699999999</v>
      </c>
      <c r="E91" s="300">
        <v>37830.906000000003</v>
      </c>
      <c r="F91" s="300">
        <v>170239.07699999999</v>
      </c>
      <c r="G91" s="301"/>
      <c r="H91" s="83">
        <f t="shared" si="20"/>
        <v>170239.07699999999</v>
      </c>
      <c r="I91" s="98">
        <f t="shared" si="21"/>
        <v>37830.906000000003</v>
      </c>
      <c r="J91" s="84">
        <f t="shared" si="22"/>
        <v>170239.07699999999</v>
      </c>
      <c r="K91" s="85"/>
      <c r="L91" s="86">
        <f t="shared" si="10"/>
        <v>170239.07699999999</v>
      </c>
      <c r="M91" s="99" t="s">
        <v>454</v>
      </c>
      <c r="N91" s="207"/>
      <c r="O91" s="207"/>
      <c r="P91" s="117"/>
      <c r="Q91" s="207"/>
    </row>
    <row r="92" spans="1:17" ht="14" x14ac:dyDescent="0.3">
      <c r="A92" s="100" t="s">
        <v>571</v>
      </c>
      <c r="B92" s="101" t="s">
        <v>155</v>
      </c>
      <c r="C92" s="87">
        <v>375389.60100000002</v>
      </c>
      <c r="D92" s="293">
        <v>168925.32045000003</v>
      </c>
      <c r="E92" s="294">
        <v>37538.960100000004</v>
      </c>
      <c r="F92" s="294">
        <v>168925.32045000003</v>
      </c>
      <c r="G92" s="295"/>
      <c r="H92" s="83">
        <f t="shared" si="20"/>
        <v>168925.32045000003</v>
      </c>
      <c r="I92" s="98">
        <f t="shared" si="21"/>
        <v>37538.960100000004</v>
      </c>
      <c r="J92" s="84">
        <f t="shared" si="22"/>
        <v>168925.32045000003</v>
      </c>
      <c r="K92" s="85"/>
      <c r="L92" s="86">
        <f t="shared" si="10"/>
        <v>168925.32045000003</v>
      </c>
      <c r="M92" s="99" t="s">
        <v>454</v>
      </c>
      <c r="N92" s="207"/>
      <c r="O92" s="207"/>
      <c r="P92" s="117"/>
      <c r="Q92" s="207"/>
    </row>
    <row r="93" spans="1:17" ht="14" x14ac:dyDescent="0.3">
      <c r="A93" s="100" t="s">
        <v>561</v>
      </c>
      <c r="B93" s="101" t="s">
        <v>182</v>
      </c>
      <c r="C93" s="87">
        <v>372047.93099999998</v>
      </c>
      <c r="D93" s="293">
        <v>167421.56894999999</v>
      </c>
      <c r="E93" s="294">
        <v>37204.793100000003</v>
      </c>
      <c r="F93" s="294">
        <v>167421.56894999999</v>
      </c>
      <c r="G93" s="295"/>
      <c r="H93" s="83">
        <f t="shared" si="20"/>
        <v>167421.56894999999</v>
      </c>
      <c r="I93" s="98">
        <f t="shared" si="21"/>
        <v>37204.793100000003</v>
      </c>
      <c r="J93" s="84">
        <f t="shared" si="22"/>
        <v>167421.56894999999</v>
      </c>
      <c r="K93" s="85"/>
      <c r="L93" s="86">
        <f t="shared" si="10"/>
        <v>167421.56894999999</v>
      </c>
      <c r="M93" s="99" t="s">
        <v>454</v>
      </c>
      <c r="N93" s="207"/>
      <c r="O93" s="207"/>
      <c r="P93" s="117"/>
      <c r="Q93" s="207"/>
    </row>
    <row r="94" spans="1:17" ht="14" x14ac:dyDescent="0.3">
      <c r="A94" s="103" t="s">
        <v>568</v>
      </c>
      <c r="B94" s="101" t="s">
        <v>178</v>
      </c>
      <c r="C94" s="87">
        <v>360992.58</v>
      </c>
      <c r="D94" s="293">
        <v>162446.66100000002</v>
      </c>
      <c r="E94" s="294">
        <v>36099.258000000002</v>
      </c>
      <c r="F94" s="294">
        <v>162446.66100000002</v>
      </c>
      <c r="G94" s="295"/>
      <c r="H94" s="83">
        <f t="shared" si="20"/>
        <v>162446.66100000002</v>
      </c>
      <c r="I94" s="98">
        <f t="shared" si="21"/>
        <v>36099.258000000002</v>
      </c>
      <c r="J94" s="84">
        <f t="shared" si="22"/>
        <v>162446.66100000002</v>
      </c>
      <c r="K94" s="85"/>
      <c r="L94" s="86">
        <f t="shared" si="10"/>
        <v>162446.66100000002</v>
      </c>
      <c r="M94" s="99" t="s">
        <v>454</v>
      </c>
      <c r="N94" s="207"/>
      <c r="O94" s="207"/>
      <c r="P94" s="117"/>
      <c r="Q94" s="207"/>
    </row>
    <row r="95" spans="1:17" ht="14" x14ac:dyDescent="0.3">
      <c r="A95" s="100" t="s">
        <v>630</v>
      </c>
      <c r="B95" s="101" t="s">
        <v>340</v>
      </c>
      <c r="C95" s="87">
        <v>359900.44</v>
      </c>
      <c r="D95" s="293">
        <v>134962.66500000001</v>
      </c>
      <c r="E95" s="294">
        <v>0</v>
      </c>
      <c r="F95" s="294">
        <v>224937.77499999999</v>
      </c>
      <c r="G95" s="295" t="s">
        <v>478</v>
      </c>
      <c r="H95" s="83">
        <f>C95*0.375</f>
        <v>134962.66500000001</v>
      </c>
      <c r="I95" s="98">
        <f>C95*0</f>
        <v>0</v>
      </c>
      <c r="J95" s="84">
        <f>C95*0.625</f>
        <v>224937.77499999999</v>
      </c>
      <c r="K95" s="85"/>
      <c r="L95" s="86">
        <f t="shared" si="10"/>
        <v>224937.77499999999</v>
      </c>
      <c r="M95" s="99" t="s">
        <v>454</v>
      </c>
      <c r="N95" s="207"/>
      <c r="O95" s="207"/>
      <c r="P95" s="117"/>
      <c r="Q95" s="207"/>
    </row>
    <row r="96" spans="1:17" ht="14" x14ac:dyDescent="0.3">
      <c r="A96" s="100" t="s">
        <v>736</v>
      </c>
      <c r="B96" s="101" t="s">
        <v>667</v>
      </c>
      <c r="C96" s="87">
        <v>357538.68</v>
      </c>
      <c r="D96" s="293">
        <v>160892.40599999999</v>
      </c>
      <c r="E96" s="294">
        <v>35753.868000000002</v>
      </c>
      <c r="F96" s="294">
        <v>160892.40599999999</v>
      </c>
      <c r="G96" s="295"/>
      <c r="H96" s="83">
        <f t="shared" ref="H96" si="23">C96*0.45</f>
        <v>160892.40599999999</v>
      </c>
      <c r="I96" s="98">
        <f t="shared" ref="I96" si="24">C96*0.1</f>
        <v>35753.868000000002</v>
      </c>
      <c r="J96" s="84">
        <f t="shared" ref="J96" si="25">C96*0.45</f>
        <v>160892.40599999999</v>
      </c>
      <c r="K96" s="85"/>
      <c r="L96" s="86">
        <f t="shared" si="10"/>
        <v>160892.40599999999</v>
      </c>
      <c r="M96" s="99" t="s">
        <v>454</v>
      </c>
      <c r="N96" s="207"/>
      <c r="O96" s="207"/>
      <c r="P96" s="117"/>
      <c r="Q96" s="207"/>
    </row>
    <row r="97" spans="1:17" ht="14" x14ac:dyDescent="0.3">
      <c r="A97" s="100" t="s">
        <v>640</v>
      </c>
      <c r="B97" s="101" t="s">
        <v>479</v>
      </c>
      <c r="C97" s="87">
        <v>350049.98349999997</v>
      </c>
      <c r="D97" s="293">
        <v>73510.496534999998</v>
      </c>
      <c r="E97" s="294">
        <v>31504.498514999996</v>
      </c>
      <c r="F97" s="294">
        <v>245034.98844999998</v>
      </c>
      <c r="G97" s="295" t="s">
        <v>854</v>
      </c>
      <c r="H97" s="83">
        <f>C97*0.21</f>
        <v>73510.496534999998</v>
      </c>
      <c r="I97" s="98">
        <f>C97*0.09</f>
        <v>31504.498514999996</v>
      </c>
      <c r="J97" s="84">
        <f>C97*0.7</f>
        <v>245034.98844999998</v>
      </c>
      <c r="K97" s="85"/>
      <c r="L97" s="86">
        <f t="shared" si="10"/>
        <v>245034.98844999998</v>
      </c>
      <c r="M97" s="99" t="s">
        <v>454</v>
      </c>
      <c r="N97" s="207"/>
      <c r="O97" s="207"/>
      <c r="P97" s="117"/>
      <c r="Q97" s="207"/>
    </row>
    <row r="98" spans="1:17" ht="14" x14ac:dyDescent="0.3">
      <c r="A98" s="100" t="s">
        <v>598</v>
      </c>
      <c r="B98" s="101" t="s">
        <v>185</v>
      </c>
      <c r="C98" s="87">
        <v>348496.16100000002</v>
      </c>
      <c r="D98" s="293">
        <v>156823.27245000002</v>
      </c>
      <c r="E98" s="294">
        <v>34849.616100000007</v>
      </c>
      <c r="F98" s="294">
        <v>156823.27245000002</v>
      </c>
      <c r="G98" s="295"/>
      <c r="H98" s="83">
        <f t="shared" ref="H98:H102" si="26">C98*0.45</f>
        <v>156823.27245000002</v>
      </c>
      <c r="I98" s="98">
        <f t="shared" ref="I98:I102" si="27">C98*0.1</f>
        <v>34849.616100000007</v>
      </c>
      <c r="J98" s="84">
        <f t="shared" ref="J98:J102" si="28">C98*0.45</f>
        <v>156823.27245000002</v>
      </c>
      <c r="K98" s="85"/>
      <c r="L98" s="86">
        <f t="shared" si="10"/>
        <v>156823.27245000002</v>
      </c>
      <c r="M98" s="99" t="s">
        <v>454</v>
      </c>
      <c r="N98" s="207"/>
      <c r="O98" s="207"/>
      <c r="P98" s="117"/>
      <c r="Q98" s="207"/>
    </row>
    <row r="99" spans="1:17" ht="14" x14ac:dyDescent="0.3">
      <c r="A99" s="100" t="s">
        <v>577</v>
      </c>
      <c r="B99" s="101" t="s">
        <v>578</v>
      </c>
      <c r="C99" s="87">
        <v>345120.64799999999</v>
      </c>
      <c r="D99" s="293">
        <v>155304.2916</v>
      </c>
      <c r="E99" s="294">
        <v>34512.0648</v>
      </c>
      <c r="F99" s="294">
        <v>155304.2916</v>
      </c>
      <c r="G99" s="295"/>
      <c r="H99" s="83">
        <f t="shared" si="26"/>
        <v>155304.2916</v>
      </c>
      <c r="I99" s="98">
        <f t="shared" si="27"/>
        <v>34512.0648</v>
      </c>
      <c r="J99" s="84">
        <f t="shared" si="28"/>
        <v>155304.2916</v>
      </c>
      <c r="K99" s="85"/>
      <c r="L99" s="86">
        <f t="shared" si="10"/>
        <v>155304.2916</v>
      </c>
      <c r="M99" s="99" t="s">
        <v>454</v>
      </c>
      <c r="N99" s="207"/>
      <c r="O99" s="207"/>
      <c r="P99" s="117"/>
      <c r="Q99" s="207"/>
    </row>
    <row r="100" spans="1:17" ht="14" x14ac:dyDescent="0.3">
      <c r="A100" s="100" t="s">
        <v>579</v>
      </c>
      <c r="B100" s="101" t="s">
        <v>580</v>
      </c>
      <c r="C100" s="87">
        <v>335113.473</v>
      </c>
      <c r="D100" s="293">
        <v>150801.06285000002</v>
      </c>
      <c r="E100" s="294">
        <v>33511.347300000001</v>
      </c>
      <c r="F100" s="294">
        <v>150801.06285000002</v>
      </c>
      <c r="G100" s="295"/>
      <c r="H100" s="83">
        <f t="shared" si="26"/>
        <v>150801.06285000002</v>
      </c>
      <c r="I100" s="98">
        <f t="shared" si="27"/>
        <v>33511.347300000001</v>
      </c>
      <c r="J100" s="84">
        <f t="shared" si="28"/>
        <v>150801.06285000002</v>
      </c>
      <c r="K100" s="85"/>
      <c r="L100" s="86">
        <f t="shared" si="10"/>
        <v>150801.06285000002</v>
      </c>
      <c r="M100" s="99" t="s">
        <v>454</v>
      </c>
      <c r="N100" s="207"/>
      <c r="O100" s="207"/>
      <c r="P100" s="117"/>
      <c r="Q100" s="207"/>
    </row>
    <row r="101" spans="1:17" ht="14" x14ac:dyDescent="0.3">
      <c r="A101" s="100" t="s">
        <v>805</v>
      </c>
      <c r="B101" s="101" t="s">
        <v>806</v>
      </c>
      <c r="C101" s="87">
        <v>315689.766</v>
      </c>
      <c r="D101" s="293">
        <v>142060.3947</v>
      </c>
      <c r="E101" s="294">
        <v>31568.976600000002</v>
      </c>
      <c r="F101" s="294">
        <v>142060.3947</v>
      </c>
      <c r="G101" s="295"/>
      <c r="H101" s="83">
        <f t="shared" si="26"/>
        <v>142060.3947</v>
      </c>
      <c r="I101" s="98">
        <f t="shared" si="27"/>
        <v>31568.976600000002</v>
      </c>
      <c r="J101" s="84">
        <f t="shared" si="28"/>
        <v>142060.3947</v>
      </c>
      <c r="K101" s="85"/>
      <c r="L101" s="86">
        <f t="shared" si="10"/>
        <v>142060.3947</v>
      </c>
      <c r="M101" s="99" t="s">
        <v>454</v>
      </c>
      <c r="N101" s="207"/>
      <c r="O101" s="207"/>
      <c r="P101" s="117"/>
      <c r="Q101" s="207"/>
    </row>
    <row r="102" spans="1:17" ht="14" x14ac:dyDescent="0.3">
      <c r="A102" s="100" t="s">
        <v>587</v>
      </c>
      <c r="B102" s="101" t="s">
        <v>209</v>
      </c>
      <c r="C102" s="87">
        <v>306837.342</v>
      </c>
      <c r="D102" s="293">
        <v>138076.8039</v>
      </c>
      <c r="E102" s="294">
        <v>30683.734200000003</v>
      </c>
      <c r="F102" s="294">
        <v>138076.8039</v>
      </c>
      <c r="G102" s="295"/>
      <c r="H102" s="83">
        <f t="shared" si="26"/>
        <v>138076.8039</v>
      </c>
      <c r="I102" s="98">
        <f t="shared" si="27"/>
        <v>30683.734200000003</v>
      </c>
      <c r="J102" s="84">
        <f t="shared" si="28"/>
        <v>138076.8039</v>
      </c>
      <c r="K102" s="85"/>
      <c r="L102" s="86">
        <f t="shared" si="10"/>
        <v>138076.8039</v>
      </c>
      <c r="M102" s="99" t="s">
        <v>454</v>
      </c>
      <c r="N102" s="207"/>
      <c r="O102" s="207"/>
      <c r="P102" s="117"/>
      <c r="Q102" s="207"/>
    </row>
    <row r="103" spans="1:17" ht="14" x14ac:dyDescent="0.3">
      <c r="A103" s="308" t="s">
        <v>731</v>
      </c>
      <c r="B103" s="309" t="s">
        <v>732</v>
      </c>
      <c r="C103" s="310">
        <v>305103.39600000001</v>
      </c>
      <c r="D103" s="311">
        <v>86954.46785999999</v>
      </c>
      <c r="E103" s="312">
        <v>27459.305639999999</v>
      </c>
      <c r="F103" s="312">
        <v>190689.6225</v>
      </c>
      <c r="G103" s="313" t="s">
        <v>852</v>
      </c>
      <c r="H103" s="314">
        <f>C103*0.285</f>
        <v>86954.46785999999</v>
      </c>
      <c r="I103" s="315">
        <f>C103*0.09</f>
        <v>27459.305639999999</v>
      </c>
      <c r="J103" s="316">
        <f>C103*0.625</f>
        <v>190689.6225</v>
      </c>
      <c r="K103" s="317">
        <v>25935.606250000001</v>
      </c>
      <c r="L103" s="318">
        <f>J103-K103</f>
        <v>164754.01624999999</v>
      </c>
      <c r="M103" s="319" t="s">
        <v>454</v>
      </c>
      <c r="N103" s="207"/>
      <c r="O103" s="207"/>
      <c r="P103" s="117"/>
      <c r="Q103" s="207"/>
    </row>
    <row r="104" spans="1:17" ht="14" x14ac:dyDescent="0.3">
      <c r="A104" s="100" t="s">
        <v>585</v>
      </c>
      <c r="B104" s="101" t="s">
        <v>221</v>
      </c>
      <c r="C104" s="87">
        <v>304816.50599999999</v>
      </c>
      <c r="D104" s="293">
        <v>137167.4277</v>
      </c>
      <c r="E104" s="294">
        <v>30481.650600000001</v>
      </c>
      <c r="F104" s="294">
        <v>137167.4277</v>
      </c>
      <c r="G104" s="295"/>
      <c r="H104" s="83">
        <f t="shared" ref="H104:H115" si="29">C104*0.45</f>
        <v>137167.4277</v>
      </c>
      <c r="I104" s="98">
        <f t="shared" ref="I104:I115" si="30">C104*0.1</f>
        <v>30481.650600000001</v>
      </c>
      <c r="J104" s="84">
        <f t="shared" ref="J104:J115" si="31">C104*0.45</f>
        <v>137167.4277</v>
      </c>
      <c r="K104" s="85"/>
      <c r="L104" s="86">
        <f t="shared" si="10"/>
        <v>137167.4277</v>
      </c>
      <c r="M104" s="99" t="s">
        <v>454</v>
      </c>
      <c r="N104" s="207"/>
      <c r="O104" s="207"/>
      <c r="P104" s="117"/>
      <c r="Q104" s="207"/>
    </row>
    <row r="105" spans="1:17" ht="14" x14ac:dyDescent="0.3">
      <c r="A105" s="100" t="s">
        <v>671</v>
      </c>
      <c r="B105" s="101" t="s">
        <v>672</v>
      </c>
      <c r="C105" s="87">
        <v>302234.96399999998</v>
      </c>
      <c r="D105" s="293">
        <v>136005.73379999999</v>
      </c>
      <c r="E105" s="294">
        <v>30223.4964</v>
      </c>
      <c r="F105" s="294">
        <v>136005.73379999999</v>
      </c>
      <c r="G105" s="295"/>
      <c r="H105" s="83">
        <f t="shared" si="29"/>
        <v>136005.73379999999</v>
      </c>
      <c r="I105" s="98">
        <f t="shared" si="30"/>
        <v>30223.4964</v>
      </c>
      <c r="J105" s="84">
        <f t="shared" si="31"/>
        <v>136005.73379999999</v>
      </c>
      <c r="K105" s="85"/>
      <c r="L105" s="86">
        <f t="shared" si="10"/>
        <v>136005.73379999999</v>
      </c>
      <c r="M105" s="99" t="s">
        <v>454</v>
      </c>
      <c r="N105" s="207"/>
      <c r="O105" s="207"/>
      <c r="P105" s="117"/>
      <c r="Q105" s="207"/>
    </row>
    <row r="106" spans="1:17" ht="14" x14ac:dyDescent="0.3">
      <c r="A106" s="100" t="s">
        <v>576</v>
      </c>
      <c r="B106" s="101" t="s">
        <v>157</v>
      </c>
      <c r="C106" s="87">
        <v>298933.39199999999</v>
      </c>
      <c r="D106" s="293">
        <v>134520.0264</v>
      </c>
      <c r="E106" s="294">
        <v>29893.339200000002</v>
      </c>
      <c r="F106" s="294">
        <v>134520.0264</v>
      </c>
      <c r="G106" s="295"/>
      <c r="H106" s="83">
        <f t="shared" si="29"/>
        <v>134520.0264</v>
      </c>
      <c r="I106" s="98">
        <f t="shared" si="30"/>
        <v>29893.339200000002</v>
      </c>
      <c r="J106" s="84">
        <f t="shared" si="31"/>
        <v>134520.0264</v>
      </c>
      <c r="K106" s="85"/>
      <c r="L106" s="86">
        <f t="shared" si="10"/>
        <v>134520.0264</v>
      </c>
      <c r="M106" s="99" t="s">
        <v>454</v>
      </c>
      <c r="N106" s="207"/>
      <c r="O106" s="207"/>
      <c r="P106" s="117"/>
      <c r="Q106" s="207"/>
    </row>
    <row r="107" spans="1:17" ht="14" x14ac:dyDescent="0.3">
      <c r="A107" s="100" t="s">
        <v>582</v>
      </c>
      <c r="B107" s="101" t="s">
        <v>185</v>
      </c>
      <c r="C107" s="87">
        <v>295718.7855</v>
      </c>
      <c r="D107" s="293">
        <v>133073.45347500002</v>
      </c>
      <c r="E107" s="294">
        <v>29571.878550000001</v>
      </c>
      <c r="F107" s="294">
        <v>133073.45347500002</v>
      </c>
      <c r="G107" s="295"/>
      <c r="H107" s="83">
        <f t="shared" si="29"/>
        <v>133073.45347500002</v>
      </c>
      <c r="I107" s="98">
        <f t="shared" si="30"/>
        <v>29571.878550000001</v>
      </c>
      <c r="J107" s="84">
        <f t="shared" si="31"/>
        <v>133073.45347500002</v>
      </c>
      <c r="K107" s="85"/>
      <c r="L107" s="86">
        <f t="shared" si="10"/>
        <v>133073.45347500002</v>
      </c>
      <c r="M107" s="99" t="s">
        <v>454</v>
      </c>
      <c r="N107" s="207"/>
      <c r="O107" s="207"/>
      <c r="P107" s="117"/>
      <c r="Q107" s="207"/>
    </row>
    <row r="108" spans="1:17" ht="14" x14ac:dyDescent="0.3">
      <c r="A108" s="100" t="s">
        <v>566</v>
      </c>
      <c r="B108" s="101" t="s">
        <v>203</v>
      </c>
      <c r="C108" s="87">
        <v>294891.37199999997</v>
      </c>
      <c r="D108" s="293">
        <v>132701.11739999999</v>
      </c>
      <c r="E108" s="294">
        <v>29489.137199999997</v>
      </c>
      <c r="F108" s="294">
        <v>132701.11739999999</v>
      </c>
      <c r="G108" s="295"/>
      <c r="H108" s="83">
        <f t="shared" si="29"/>
        <v>132701.11739999999</v>
      </c>
      <c r="I108" s="98">
        <f t="shared" si="30"/>
        <v>29489.137199999997</v>
      </c>
      <c r="J108" s="84">
        <f t="shared" si="31"/>
        <v>132701.11739999999</v>
      </c>
      <c r="K108" s="85"/>
      <c r="L108" s="86">
        <f t="shared" si="10"/>
        <v>132701.11739999999</v>
      </c>
      <c r="M108" s="99" t="s">
        <v>454</v>
      </c>
      <c r="N108" s="207"/>
      <c r="O108" s="207"/>
      <c r="P108" s="117"/>
      <c r="Q108" s="207"/>
    </row>
    <row r="109" spans="1:17" ht="14" x14ac:dyDescent="0.3">
      <c r="A109" s="100" t="s">
        <v>593</v>
      </c>
      <c r="B109" s="101" t="s">
        <v>161</v>
      </c>
      <c r="C109" s="87">
        <v>294491.17200000002</v>
      </c>
      <c r="D109" s="293">
        <v>132521.02740000002</v>
      </c>
      <c r="E109" s="294">
        <v>29449.117200000004</v>
      </c>
      <c r="F109" s="294">
        <v>132521.02740000002</v>
      </c>
      <c r="G109" s="295"/>
      <c r="H109" s="83">
        <f t="shared" si="29"/>
        <v>132521.02740000002</v>
      </c>
      <c r="I109" s="98">
        <f t="shared" si="30"/>
        <v>29449.117200000004</v>
      </c>
      <c r="J109" s="84">
        <f t="shared" si="31"/>
        <v>132521.02740000002</v>
      </c>
      <c r="K109" s="85"/>
      <c r="L109" s="86">
        <f t="shared" si="10"/>
        <v>132521.02740000002</v>
      </c>
      <c r="M109" s="99" t="s">
        <v>454</v>
      </c>
      <c r="N109" s="207"/>
      <c r="O109" s="207"/>
      <c r="P109" s="117"/>
      <c r="Q109" s="207"/>
    </row>
    <row r="110" spans="1:17" ht="14" x14ac:dyDescent="0.3">
      <c r="A110" s="100" t="s">
        <v>589</v>
      </c>
      <c r="B110" s="101" t="s">
        <v>176</v>
      </c>
      <c r="C110" s="87">
        <v>293784.81900000002</v>
      </c>
      <c r="D110" s="293">
        <v>132203.16855</v>
      </c>
      <c r="E110" s="294">
        <v>29378.481900000002</v>
      </c>
      <c r="F110" s="294">
        <v>132203.16855</v>
      </c>
      <c r="G110" s="295"/>
      <c r="H110" s="83">
        <f t="shared" si="29"/>
        <v>132203.16855</v>
      </c>
      <c r="I110" s="98">
        <f t="shared" si="30"/>
        <v>29378.481900000002</v>
      </c>
      <c r="J110" s="84">
        <f t="shared" si="31"/>
        <v>132203.16855</v>
      </c>
      <c r="K110" s="85"/>
      <c r="L110" s="86">
        <f t="shared" si="10"/>
        <v>132203.16855</v>
      </c>
      <c r="M110" s="99" t="s">
        <v>454</v>
      </c>
      <c r="N110" s="207"/>
      <c r="O110" s="207"/>
      <c r="P110" s="117"/>
      <c r="Q110" s="207"/>
    </row>
    <row r="111" spans="1:17" ht="14" x14ac:dyDescent="0.3">
      <c r="A111" s="100" t="s">
        <v>586</v>
      </c>
      <c r="B111" s="118" t="s">
        <v>163</v>
      </c>
      <c r="C111" s="87">
        <v>292003.929</v>
      </c>
      <c r="D111" s="299">
        <v>131401.76805000001</v>
      </c>
      <c r="E111" s="300">
        <v>29200.392900000003</v>
      </c>
      <c r="F111" s="300">
        <v>131401.76805000001</v>
      </c>
      <c r="G111" s="301"/>
      <c r="H111" s="83">
        <f t="shared" si="29"/>
        <v>131401.76805000001</v>
      </c>
      <c r="I111" s="98">
        <f t="shared" si="30"/>
        <v>29200.392900000003</v>
      </c>
      <c r="J111" s="84">
        <f t="shared" si="31"/>
        <v>131401.76805000001</v>
      </c>
      <c r="K111" s="85"/>
      <c r="L111" s="86">
        <f t="shared" si="10"/>
        <v>131401.76805000001</v>
      </c>
      <c r="M111" s="99" t="s">
        <v>454</v>
      </c>
      <c r="N111" s="207"/>
      <c r="O111" s="207"/>
      <c r="P111" s="117"/>
      <c r="Q111" s="207"/>
    </row>
    <row r="112" spans="1:17" ht="14" x14ac:dyDescent="0.3">
      <c r="A112" s="100" t="s">
        <v>564</v>
      </c>
      <c r="B112" s="101" t="s">
        <v>565</v>
      </c>
      <c r="C112" s="87">
        <v>290287.071</v>
      </c>
      <c r="D112" s="293">
        <v>130629.18195</v>
      </c>
      <c r="E112" s="294">
        <v>29028.7071</v>
      </c>
      <c r="F112" s="294">
        <v>130629.18195</v>
      </c>
      <c r="G112" s="295"/>
      <c r="H112" s="83">
        <f t="shared" si="29"/>
        <v>130629.18195</v>
      </c>
      <c r="I112" s="98">
        <f t="shared" si="30"/>
        <v>29028.7071</v>
      </c>
      <c r="J112" s="84">
        <f t="shared" si="31"/>
        <v>130629.18195</v>
      </c>
      <c r="K112" s="85"/>
      <c r="L112" s="86">
        <f t="shared" si="10"/>
        <v>130629.18195</v>
      </c>
      <c r="M112" s="99" t="s">
        <v>454</v>
      </c>
      <c r="N112" s="207"/>
      <c r="O112" s="207"/>
      <c r="P112" s="117"/>
      <c r="Q112" s="207"/>
    </row>
    <row r="113" spans="1:17" ht="14" x14ac:dyDescent="0.3">
      <c r="A113" s="100" t="s">
        <v>588</v>
      </c>
      <c r="B113" s="101" t="s">
        <v>195</v>
      </c>
      <c r="C113" s="87">
        <v>290237.48100000003</v>
      </c>
      <c r="D113" s="293">
        <v>130606.86645000002</v>
      </c>
      <c r="E113" s="294">
        <v>29023.748100000004</v>
      </c>
      <c r="F113" s="294">
        <v>130606.86645000002</v>
      </c>
      <c r="G113" s="295"/>
      <c r="H113" s="83">
        <f t="shared" si="29"/>
        <v>130606.86645000002</v>
      </c>
      <c r="I113" s="98">
        <f t="shared" si="30"/>
        <v>29023.748100000004</v>
      </c>
      <c r="J113" s="84">
        <f t="shared" si="31"/>
        <v>130606.86645000002</v>
      </c>
      <c r="K113" s="85"/>
      <c r="L113" s="86">
        <f t="shared" ref="L113:L176" si="32">J113-K113</f>
        <v>130606.86645000002</v>
      </c>
      <c r="M113" s="99" t="s">
        <v>454</v>
      </c>
      <c r="N113" s="207"/>
      <c r="O113" s="207"/>
      <c r="P113" s="117"/>
      <c r="Q113" s="207"/>
    </row>
    <row r="114" spans="1:17" ht="14" x14ac:dyDescent="0.3">
      <c r="A114" s="100" t="s">
        <v>569</v>
      </c>
      <c r="B114" s="101" t="s">
        <v>570</v>
      </c>
      <c r="C114" s="87">
        <v>279059.46000000002</v>
      </c>
      <c r="D114" s="293">
        <v>125576.75700000001</v>
      </c>
      <c r="E114" s="294">
        <v>27905.946000000004</v>
      </c>
      <c r="F114" s="294">
        <v>125576.75700000001</v>
      </c>
      <c r="G114" s="295"/>
      <c r="H114" s="83">
        <f t="shared" si="29"/>
        <v>125576.75700000001</v>
      </c>
      <c r="I114" s="98">
        <f t="shared" si="30"/>
        <v>27905.946000000004</v>
      </c>
      <c r="J114" s="84">
        <f t="shared" si="31"/>
        <v>125576.75700000001</v>
      </c>
      <c r="K114" s="85"/>
      <c r="L114" s="86">
        <f t="shared" si="32"/>
        <v>125576.75700000001</v>
      </c>
      <c r="M114" s="99" t="s">
        <v>454</v>
      </c>
      <c r="N114" s="207"/>
      <c r="O114" s="207"/>
      <c r="P114" s="117"/>
      <c r="Q114" s="207"/>
    </row>
    <row r="115" spans="1:17" ht="14" x14ac:dyDescent="0.3">
      <c r="A115" s="100" t="s">
        <v>599</v>
      </c>
      <c r="B115" s="101" t="s">
        <v>181</v>
      </c>
      <c r="C115" s="87">
        <v>273310.587</v>
      </c>
      <c r="D115" s="293">
        <v>122989.76415</v>
      </c>
      <c r="E115" s="294">
        <v>27331.058700000001</v>
      </c>
      <c r="F115" s="294">
        <v>122989.76415</v>
      </c>
      <c r="G115" s="295"/>
      <c r="H115" s="83">
        <f t="shared" si="29"/>
        <v>122989.76415</v>
      </c>
      <c r="I115" s="98">
        <f t="shared" si="30"/>
        <v>27331.058700000001</v>
      </c>
      <c r="J115" s="84">
        <f t="shared" si="31"/>
        <v>122989.76415</v>
      </c>
      <c r="K115" s="85"/>
      <c r="L115" s="86">
        <f t="shared" si="32"/>
        <v>122989.76415</v>
      </c>
      <c r="M115" s="99" t="s">
        <v>454</v>
      </c>
      <c r="N115" s="207"/>
      <c r="O115" s="207"/>
      <c r="P115" s="117"/>
      <c r="Q115" s="207"/>
    </row>
    <row r="116" spans="1:17" ht="14" x14ac:dyDescent="0.3">
      <c r="A116" s="100" t="s">
        <v>618</v>
      </c>
      <c r="B116" s="101" t="s">
        <v>180</v>
      </c>
      <c r="C116" s="87">
        <v>269362.614</v>
      </c>
      <c r="D116" s="293">
        <v>103704.60639</v>
      </c>
      <c r="E116" s="294">
        <v>24242.635259999999</v>
      </c>
      <c r="F116" s="294">
        <v>141415.37235000002</v>
      </c>
      <c r="G116" s="295" t="s">
        <v>853</v>
      </c>
      <c r="H116" s="83">
        <f>C116*0.385</f>
        <v>103704.60639</v>
      </c>
      <c r="I116" s="98">
        <f>C116*0.09</f>
        <v>24242.635259999999</v>
      </c>
      <c r="J116" s="84">
        <f>C116*0.525</f>
        <v>141415.37235000002</v>
      </c>
      <c r="K116" s="85"/>
      <c r="L116" s="86">
        <f t="shared" si="32"/>
        <v>141415.37235000002</v>
      </c>
      <c r="M116" s="99" t="s">
        <v>454</v>
      </c>
      <c r="N116" s="207"/>
      <c r="O116" s="207"/>
      <c r="P116" s="117"/>
      <c r="Q116" s="207"/>
    </row>
    <row r="117" spans="1:17" ht="14" x14ac:dyDescent="0.3">
      <c r="A117" s="100" t="s">
        <v>581</v>
      </c>
      <c r="B117" s="101" t="s">
        <v>331</v>
      </c>
      <c r="C117" s="87">
        <v>268890.37799999997</v>
      </c>
      <c r="D117" s="293">
        <v>121000.67009999999</v>
      </c>
      <c r="E117" s="294">
        <v>26889.037799999998</v>
      </c>
      <c r="F117" s="294">
        <v>121000.67009999999</v>
      </c>
      <c r="G117" s="295"/>
      <c r="H117" s="83">
        <f t="shared" ref="H117:H121" si="33">C117*0.45</f>
        <v>121000.67009999999</v>
      </c>
      <c r="I117" s="98">
        <f t="shared" ref="I117:I121" si="34">C117*0.1</f>
        <v>26889.037799999998</v>
      </c>
      <c r="J117" s="84">
        <f t="shared" ref="J117:J121" si="35">C117*0.45</f>
        <v>121000.67009999999</v>
      </c>
      <c r="K117" s="85"/>
      <c r="L117" s="86">
        <f t="shared" si="32"/>
        <v>121000.67009999999</v>
      </c>
      <c r="M117" s="99" t="s">
        <v>454</v>
      </c>
      <c r="N117" s="207"/>
      <c r="O117" s="207"/>
      <c r="P117" s="117"/>
      <c r="Q117" s="207"/>
    </row>
    <row r="118" spans="1:17" ht="14" x14ac:dyDescent="0.3">
      <c r="A118" s="100" t="s">
        <v>590</v>
      </c>
      <c r="B118" s="101" t="s">
        <v>200</v>
      </c>
      <c r="C118" s="87">
        <v>265554.71100000001</v>
      </c>
      <c r="D118" s="293">
        <v>119499.61995000001</v>
      </c>
      <c r="E118" s="294">
        <v>26555.471100000002</v>
      </c>
      <c r="F118" s="294">
        <v>119499.61995000001</v>
      </c>
      <c r="G118" s="295"/>
      <c r="H118" s="83">
        <f t="shared" si="33"/>
        <v>119499.61995000001</v>
      </c>
      <c r="I118" s="98">
        <f t="shared" si="34"/>
        <v>26555.471100000002</v>
      </c>
      <c r="J118" s="84">
        <f t="shared" si="35"/>
        <v>119499.61995000001</v>
      </c>
      <c r="K118" s="85"/>
      <c r="L118" s="86">
        <f t="shared" si="32"/>
        <v>119499.61995000001</v>
      </c>
      <c r="M118" s="99" t="s">
        <v>454</v>
      </c>
      <c r="N118" s="207"/>
      <c r="O118" s="207"/>
      <c r="P118" s="117"/>
      <c r="Q118" s="207"/>
    </row>
    <row r="119" spans="1:17" ht="14" x14ac:dyDescent="0.3">
      <c r="A119" s="100" t="s">
        <v>573</v>
      </c>
      <c r="B119" s="101" t="s">
        <v>229</v>
      </c>
      <c r="C119" s="87">
        <v>263562.71549999999</v>
      </c>
      <c r="D119" s="293">
        <v>118603.22197499999</v>
      </c>
      <c r="E119" s="294">
        <v>26356.271550000001</v>
      </c>
      <c r="F119" s="294">
        <v>118603.22197499999</v>
      </c>
      <c r="G119" s="295"/>
      <c r="H119" s="83">
        <f t="shared" si="33"/>
        <v>118603.22197499999</v>
      </c>
      <c r="I119" s="98">
        <f t="shared" si="34"/>
        <v>26356.271550000001</v>
      </c>
      <c r="J119" s="84">
        <f t="shared" si="35"/>
        <v>118603.22197499999</v>
      </c>
      <c r="K119" s="85"/>
      <c r="L119" s="86">
        <f t="shared" si="32"/>
        <v>118603.22197499999</v>
      </c>
      <c r="M119" s="99" t="s">
        <v>454</v>
      </c>
      <c r="N119" s="207"/>
      <c r="O119" s="207"/>
      <c r="P119" s="117"/>
      <c r="Q119" s="207"/>
    </row>
    <row r="120" spans="1:17" ht="14" x14ac:dyDescent="0.3">
      <c r="A120" s="100" t="s">
        <v>611</v>
      </c>
      <c r="B120" s="101" t="s">
        <v>224</v>
      </c>
      <c r="C120" s="87">
        <v>262145.00699999998</v>
      </c>
      <c r="D120" s="293">
        <v>117965.25314999999</v>
      </c>
      <c r="E120" s="294">
        <v>26214.500700000001</v>
      </c>
      <c r="F120" s="294">
        <v>117965.25314999999</v>
      </c>
      <c r="G120" s="295"/>
      <c r="H120" s="83">
        <f t="shared" si="33"/>
        <v>117965.25314999999</v>
      </c>
      <c r="I120" s="98">
        <f t="shared" si="34"/>
        <v>26214.500700000001</v>
      </c>
      <c r="J120" s="84">
        <f t="shared" si="35"/>
        <v>117965.25314999999</v>
      </c>
      <c r="K120" s="85"/>
      <c r="L120" s="86">
        <f t="shared" si="32"/>
        <v>117965.25314999999</v>
      </c>
      <c r="M120" s="99" t="s">
        <v>454</v>
      </c>
      <c r="N120" s="207"/>
      <c r="O120" s="207"/>
      <c r="P120" s="117"/>
      <c r="Q120" s="207"/>
    </row>
    <row r="121" spans="1:17" ht="14" x14ac:dyDescent="0.3">
      <c r="A121" s="100" t="s">
        <v>622</v>
      </c>
      <c r="B121" s="101" t="s">
        <v>231</v>
      </c>
      <c r="C121" s="87">
        <v>261566.71799999999</v>
      </c>
      <c r="D121" s="293">
        <v>117705.02310000001</v>
      </c>
      <c r="E121" s="294">
        <v>26156.6718</v>
      </c>
      <c r="F121" s="294">
        <v>117705.02310000001</v>
      </c>
      <c r="G121" s="295"/>
      <c r="H121" s="83">
        <f t="shared" si="33"/>
        <v>117705.02310000001</v>
      </c>
      <c r="I121" s="98">
        <f t="shared" si="34"/>
        <v>26156.6718</v>
      </c>
      <c r="J121" s="84">
        <f t="shared" si="35"/>
        <v>117705.02310000001</v>
      </c>
      <c r="K121" s="85"/>
      <c r="L121" s="86">
        <f t="shared" si="32"/>
        <v>117705.02310000001</v>
      </c>
      <c r="M121" s="99" t="s">
        <v>454</v>
      </c>
      <c r="N121" s="207"/>
      <c r="O121" s="207"/>
      <c r="P121" s="117"/>
      <c r="Q121" s="207"/>
    </row>
    <row r="122" spans="1:17" ht="14" x14ac:dyDescent="0.3">
      <c r="A122" s="100" t="s">
        <v>846</v>
      </c>
      <c r="B122" s="101" t="s">
        <v>881</v>
      </c>
      <c r="C122" s="87">
        <v>261235.584</v>
      </c>
      <c r="D122" s="293">
        <v>100575.69984</v>
      </c>
      <c r="E122" s="294">
        <v>23511.202559999998</v>
      </c>
      <c r="F122" s="294">
        <v>137148.68160000001</v>
      </c>
      <c r="G122" s="295" t="s">
        <v>882</v>
      </c>
      <c r="H122" s="83">
        <f>C122*0.385</f>
        <v>100575.69984</v>
      </c>
      <c r="I122" s="98">
        <f>C122*0.09</f>
        <v>23511.202559999998</v>
      </c>
      <c r="J122" s="84">
        <f>C122*0.525</f>
        <v>137148.68160000001</v>
      </c>
      <c r="K122" s="85"/>
      <c r="L122" s="86">
        <f t="shared" si="32"/>
        <v>137148.68160000001</v>
      </c>
      <c r="M122" s="99" t="s">
        <v>454</v>
      </c>
      <c r="N122" s="207"/>
      <c r="O122" s="207"/>
      <c r="P122" s="117"/>
      <c r="Q122" s="207"/>
    </row>
    <row r="123" spans="1:17" ht="14" x14ac:dyDescent="0.3">
      <c r="A123" s="100" t="s">
        <v>601</v>
      </c>
      <c r="B123" s="101" t="s">
        <v>168</v>
      </c>
      <c r="C123" s="87">
        <v>250595.23499999999</v>
      </c>
      <c r="D123" s="293">
        <v>112767.85575</v>
      </c>
      <c r="E123" s="294">
        <v>25059.523499999999</v>
      </c>
      <c r="F123" s="294">
        <v>112767.85575</v>
      </c>
      <c r="G123" s="295"/>
      <c r="H123" s="83">
        <f t="shared" ref="H123:H127" si="36">C123*0.45</f>
        <v>112767.85575</v>
      </c>
      <c r="I123" s="98">
        <f t="shared" ref="I123:I127" si="37">C123*0.1</f>
        <v>25059.523499999999</v>
      </c>
      <c r="J123" s="84">
        <f t="shared" ref="J123:J127" si="38">C123*0.45</f>
        <v>112767.85575</v>
      </c>
      <c r="K123" s="85"/>
      <c r="L123" s="86">
        <f t="shared" si="32"/>
        <v>112767.85575</v>
      </c>
      <c r="M123" s="99" t="s">
        <v>454</v>
      </c>
      <c r="N123" s="207"/>
      <c r="O123" s="207"/>
      <c r="P123" s="117"/>
      <c r="Q123" s="207"/>
    </row>
    <row r="124" spans="1:17" ht="23.5" x14ac:dyDescent="0.3">
      <c r="A124" s="308" t="s">
        <v>540</v>
      </c>
      <c r="B124" s="309" t="s">
        <v>232</v>
      </c>
      <c r="C124" s="310">
        <v>246339.10800000001</v>
      </c>
      <c r="D124" s="311">
        <v>110852.59860000001</v>
      </c>
      <c r="E124" s="312">
        <v>24633.910800000001</v>
      </c>
      <c r="F124" s="312">
        <v>110852.59860000001</v>
      </c>
      <c r="G124" s="313"/>
      <c r="H124" s="314">
        <f t="shared" si="36"/>
        <v>110852.59860000001</v>
      </c>
      <c r="I124" s="315">
        <f t="shared" si="37"/>
        <v>24633.910800000001</v>
      </c>
      <c r="J124" s="316">
        <f t="shared" si="38"/>
        <v>110852.59860000001</v>
      </c>
      <c r="K124" s="317">
        <v>137251.01800000001</v>
      </c>
      <c r="L124" s="318">
        <f>J124-K124</f>
        <v>-26398.419399999999</v>
      </c>
      <c r="M124" s="403" t="s">
        <v>1260</v>
      </c>
      <c r="N124" s="207"/>
      <c r="O124" s="207"/>
      <c r="P124" s="117"/>
      <c r="Q124" s="207"/>
    </row>
    <row r="125" spans="1:17" ht="14" x14ac:dyDescent="0.3">
      <c r="A125" s="100" t="s">
        <v>594</v>
      </c>
      <c r="B125" s="101" t="s">
        <v>346</v>
      </c>
      <c r="C125" s="87">
        <v>241706.79300000001</v>
      </c>
      <c r="D125" s="293">
        <v>108768.05685000001</v>
      </c>
      <c r="E125" s="294">
        <v>24170.679300000003</v>
      </c>
      <c r="F125" s="294">
        <v>108768.05685000001</v>
      </c>
      <c r="G125" s="295"/>
      <c r="H125" s="83">
        <f t="shared" si="36"/>
        <v>108768.05685000001</v>
      </c>
      <c r="I125" s="98">
        <f t="shared" si="37"/>
        <v>24170.679300000003</v>
      </c>
      <c r="J125" s="84">
        <f t="shared" si="38"/>
        <v>108768.05685000001</v>
      </c>
      <c r="K125" s="85"/>
      <c r="L125" s="86">
        <f t="shared" si="32"/>
        <v>108768.05685000001</v>
      </c>
      <c r="M125" s="99" t="s">
        <v>454</v>
      </c>
      <c r="N125" s="207"/>
      <c r="O125" s="207"/>
      <c r="P125" s="117"/>
      <c r="Q125" s="207"/>
    </row>
    <row r="126" spans="1:17" ht="14" x14ac:dyDescent="0.3">
      <c r="A126" s="104" t="s">
        <v>606</v>
      </c>
      <c r="B126" s="101" t="s">
        <v>607</v>
      </c>
      <c r="C126" s="87">
        <v>241020.45</v>
      </c>
      <c r="D126" s="293">
        <v>108459.20250000001</v>
      </c>
      <c r="E126" s="294">
        <v>24102.045000000002</v>
      </c>
      <c r="F126" s="294">
        <v>108459.20250000001</v>
      </c>
      <c r="G126" s="295"/>
      <c r="H126" s="83">
        <f t="shared" si="36"/>
        <v>108459.20250000001</v>
      </c>
      <c r="I126" s="98">
        <f t="shared" si="37"/>
        <v>24102.045000000002</v>
      </c>
      <c r="J126" s="84">
        <f t="shared" si="38"/>
        <v>108459.20250000001</v>
      </c>
      <c r="K126" s="85"/>
      <c r="L126" s="86">
        <f t="shared" si="32"/>
        <v>108459.20250000001</v>
      </c>
      <c r="M126" s="99" t="s">
        <v>454</v>
      </c>
      <c r="N126" s="207"/>
      <c r="O126" s="207"/>
      <c r="P126" s="117"/>
      <c r="Q126" s="207"/>
    </row>
    <row r="127" spans="1:17" ht="14" x14ac:dyDescent="0.3">
      <c r="A127" s="100" t="s">
        <v>608</v>
      </c>
      <c r="B127" s="101" t="s">
        <v>187</v>
      </c>
      <c r="C127" s="87">
        <v>235537.71</v>
      </c>
      <c r="D127" s="293">
        <v>105991.96949999999</v>
      </c>
      <c r="E127" s="294">
        <v>23553.771000000001</v>
      </c>
      <c r="F127" s="294">
        <v>105991.96949999999</v>
      </c>
      <c r="G127" s="295"/>
      <c r="H127" s="83">
        <f t="shared" si="36"/>
        <v>105991.96949999999</v>
      </c>
      <c r="I127" s="98">
        <f t="shared" si="37"/>
        <v>23553.771000000001</v>
      </c>
      <c r="J127" s="84">
        <f t="shared" si="38"/>
        <v>105991.96949999999</v>
      </c>
      <c r="K127" s="85"/>
      <c r="L127" s="86">
        <f t="shared" si="32"/>
        <v>105991.96949999999</v>
      </c>
      <c r="M127" s="99" t="s">
        <v>454</v>
      </c>
      <c r="N127" s="207"/>
      <c r="O127" s="207"/>
      <c r="P127" s="117"/>
      <c r="Q127" s="207"/>
    </row>
    <row r="128" spans="1:17" ht="14" x14ac:dyDescent="0.3">
      <c r="A128" s="100" t="s">
        <v>657</v>
      </c>
      <c r="B128" s="101" t="s">
        <v>479</v>
      </c>
      <c r="C128" s="87">
        <v>233367.75200000001</v>
      </c>
      <c r="D128" s="293">
        <v>49007.227919999998</v>
      </c>
      <c r="E128" s="294">
        <v>21003.097679999999</v>
      </c>
      <c r="F128" s="294">
        <v>163357.4264</v>
      </c>
      <c r="G128" s="295" t="s">
        <v>854</v>
      </c>
      <c r="H128" s="83">
        <f>C128*0.21</f>
        <v>49007.227919999998</v>
      </c>
      <c r="I128" s="98">
        <f>C128*0.09</f>
        <v>21003.097679999999</v>
      </c>
      <c r="J128" s="84">
        <f>C128*0.7</f>
        <v>163357.4264</v>
      </c>
      <c r="K128" s="85"/>
      <c r="L128" s="86">
        <f t="shared" si="32"/>
        <v>163357.4264</v>
      </c>
      <c r="M128" s="99" t="s">
        <v>454</v>
      </c>
      <c r="N128" s="207"/>
      <c r="O128" s="207"/>
      <c r="P128" s="117"/>
      <c r="Q128" s="207"/>
    </row>
    <row r="129" spans="1:17" s="105" customFormat="1" ht="14" x14ac:dyDescent="0.3">
      <c r="A129" s="100" t="s">
        <v>609</v>
      </c>
      <c r="B129" s="101" t="s">
        <v>226</v>
      </c>
      <c r="C129" s="87">
        <v>233358.62100000001</v>
      </c>
      <c r="D129" s="293">
        <v>105011.37945000001</v>
      </c>
      <c r="E129" s="294">
        <v>23335.862100000002</v>
      </c>
      <c r="F129" s="294">
        <v>105011.37945000001</v>
      </c>
      <c r="G129" s="295"/>
      <c r="H129" s="83">
        <f t="shared" ref="H129:H136" si="39">C129*0.45</f>
        <v>105011.37945000001</v>
      </c>
      <c r="I129" s="98">
        <f t="shared" ref="I129:I136" si="40">C129*0.1</f>
        <v>23335.862100000002</v>
      </c>
      <c r="J129" s="84">
        <f t="shared" ref="J129:J136" si="41">C129*0.45</f>
        <v>105011.37945000001</v>
      </c>
      <c r="K129" s="85"/>
      <c r="L129" s="86">
        <f t="shared" si="32"/>
        <v>105011.37945000001</v>
      </c>
      <c r="M129" s="99" t="s">
        <v>454</v>
      </c>
      <c r="N129" s="207"/>
      <c r="O129" s="207"/>
      <c r="P129" s="117"/>
      <c r="Q129" s="207"/>
    </row>
    <row r="130" spans="1:17" ht="14" x14ac:dyDescent="0.3">
      <c r="A130" s="100" t="s">
        <v>597</v>
      </c>
      <c r="B130" s="101" t="s">
        <v>172</v>
      </c>
      <c r="C130" s="87">
        <v>223649.769</v>
      </c>
      <c r="D130" s="293">
        <v>100642.39605</v>
      </c>
      <c r="E130" s="294">
        <v>22364.976900000001</v>
      </c>
      <c r="F130" s="294">
        <v>100642.39605</v>
      </c>
      <c r="G130" s="295"/>
      <c r="H130" s="83">
        <f t="shared" si="39"/>
        <v>100642.39605</v>
      </c>
      <c r="I130" s="98">
        <f t="shared" si="40"/>
        <v>22364.976900000001</v>
      </c>
      <c r="J130" s="84">
        <f t="shared" si="41"/>
        <v>100642.39605</v>
      </c>
      <c r="K130" s="85"/>
      <c r="L130" s="86">
        <f t="shared" si="32"/>
        <v>100642.39605</v>
      </c>
      <c r="M130" s="99" t="s">
        <v>454</v>
      </c>
      <c r="N130" s="207"/>
      <c r="O130" s="207"/>
      <c r="P130" s="117"/>
      <c r="Q130" s="207"/>
    </row>
    <row r="131" spans="1:17" ht="14" x14ac:dyDescent="0.3">
      <c r="A131" s="100" t="s">
        <v>610</v>
      </c>
      <c r="B131" s="101" t="s">
        <v>148</v>
      </c>
      <c r="C131" s="87">
        <v>219149.52</v>
      </c>
      <c r="D131" s="293">
        <v>98617.284</v>
      </c>
      <c r="E131" s="294">
        <v>21914.952000000001</v>
      </c>
      <c r="F131" s="294">
        <v>98617.284</v>
      </c>
      <c r="G131" s="295"/>
      <c r="H131" s="83">
        <f t="shared" si="39"/>
        <v>98617.284</v>
      </c>
      <c r="I131" s="98">
        <f t="shared" si="40"/>
        <v>21914.952000000001</v>
      </c>
      <c r="J131" s="84">
        <f t="shared" si="41"/>
        <v>98617.284</v>
      </c>
      <c r="K131" s="85"/>
      <c r="L131" s="86">
        <f t="shared" si="32"/>
        <v>98617.284</v>
      </c>
      <c r="M131" s="99" t="s">
        <v>454</v>
      </c>
      <c r="N131" s="207"/>
      <c r="O131" s="207"/>
      <c r="P131" s="117"/>
      <c r="Q131" s="207"/>
    </row>
    <row r="132" spans="1:17" ht="14" x14ac:dyDescent="0.3">
      <c r="A132" s="100" t="s">
        <v>612</v>
      </c>
      <c r="B132" s="101" t="s">
        <v>233</v>
      </c>
      <c r="C132" s="87">
        <v>216678.285</v>
      </c>
      <c r="D132" s="293">
        <v>97505.22825</v>
      </c>
      <c r="E132" s="294">
        <v>21667.828500000003</v>
      </c>
      <c r="F132" s="294">
        <v>97505.22825</v>
      </c>
      <c r="G132" s="295"/>
      <c r="H132" s="83">
        <f t="shared" si="39"/>
        <v>97505.22825</v>
      </c>
      <c r="I132" s="98">
        <f t="shared" si="40"/>
        <v>21667.828500000003</v>
      </c>
      <c r="J132" s="84">
        <f t="shared" si="41"/>
        <v>97505.22825</v>
      </c>
      <c r="K132" s="85"/>
      <c r="L132" s="86">
        <f t="shared" si="32"/>
        <v>97505.22825</v>
      </c>
      <c r="M132" s="99" t="s">
        <v>454</v>
      </c>
      <c r="N132" s="207"/>
      <c r="O132" s="207"/>
      <c r="P132" s="117"/>
      <c r="Q132" s="207"/>
    </row>
    <row r="133" spans="1:17" ht="14" x14ac:dyDescent="0.3">
      <c r="A133" s="100" t="s">
        <v>595</v>
      </c>
      <c r="B133" s="101" t="s">
        <v>596</v>
      </c>
      <c r="C133" s="87">
        <v>215165.52900000001</v>
      </c>
      <c r="D133" s="293">
        <v>96824.48805</v>
      </c>
      <c r="E133" s="294">
        <v>21516.552900000002</v>
      </c>
      <c r="F133" s="294">
        <v>96824.48805</v>
      </c>
      <c r="G133" s="295"/>
      <c r="H133" s="83">
        <f t="shared" si="39"/>
        <v>96824.48805</v>
      </c>
      <c r="I133" s="98">
        <f t="shared" si="40"/>
        <v>21516.552900000002</v>
      </c>
      <c r="J133" s="84">
        <f t="shared" si="41"/>
        <v>96824.48805</v>
      </c>
      <c r="K133" s="85"/>
      <c r="L133" s="86">
        <f t="shared" si="32"/>
        <v>96824.48805</v>
      </c>
      <c r="M133" s="99" t="s">
        <v>454</v>
      </c>
      <c r="N133" s="207"/>
      <c r="O133" s="207"/>
      <c r="P133" s="117"/>
      <c r="Q133" s="207"/>
    </row>
    <row r="134" spans="1:17" ht="14" x14ac:dyDescent="0.3">
      <c r="A134" s="100" t="s">
        <v>637</v>
      </c>
      <c r="B134" s="101" t="s">
        <v>304</v>
      </c>
      <c r="C134" s="87">
        <v>213614.75399999999</v>
      </c>
      <c r="D134" s="293">
        <v>96126.639299999995</v>
      </c>
      <c r="E134" s="294">
        <v>21361.475399999999</v>
      </c>
      <c r="F134" s="294">
        <v>96126.639299999995</v>
      </c>
      <c r="G134" s="295"/>
      <c r="H134" s="83">
        <f t="shared" si="39"/>
        <v>96126.639299999995</v>
      </c>
      <c r="I134" s="98">
        <f t="shared" si="40"/>
        <v>21361.475399999999</v>
      </c>
      <c r="J134" s="84">
        <f t="shared" si="41"/>
        <v>96126.639299999995</v>
      </c>
      <c r="K134" s="85"/>
      <c r="L134" s="86">
        <f t="shared" si="32"/>
        <v>96126.639299999995</v>
      </c>
      <c r="M134" s="99" t="s">
        <v>454</v>
      </c>
      <c r="N134" s="207"/>
      <c r="O134" s="207"/>
      <c r="P134" s="117"/>
      <c r="Q134" s="207"/>
    </row>
    <row r="135" spans="1:17" ht="14" x14ac:dyDescent="0.3">
      <c r="A135" s="100" t="s">
        <v>600</v>
      </c>
      <c r="B135" s="101" t="s">
        <v>337</v>
      </c>
      <c r="C135" s="87">
        <v>209972.93400000001</v>
      </c>
      <c r="D135" s="293">
        <v>94487.820300000007</v>
      </c>
      <c r="E135" s="294">
        <v>20997.293400000002</v>
      </c>
      <c r="F135" s="294">
        <v>94487.820300000007</v>
      </c>
      <c r="G135" s="295"/>
      <c r="H135" s="83">
        <f t="shared" si="39"/>
        <v>94487.820300000007</v>
      </c>
      <c r="I135" s="98">
        <f t="shared" si="40"/>
        <v>20997.293400000002</v>
      </c>
      <c r="J135" s="84">
        <f t="shared" si="41"/>
        <v>94487.820300000007</v>
      </c>
      <c r="K135" s="85"/>
      <c r="L135" s="86">
        <f t="shared" si="32"/>
        <v>94487.820300000007</v>
      </c>
      <c r="M135" s="99" t="s">
        <v>454</v>
      </c>
      <c r="N135" s="207"/>
      <c r="O135" s="207"/>
      <c r="P135" s="117"/>
      <c r="Q135" s="207"/>
    </row>
    <row r="136" spans="1:17" ht="14" x14ac:dyDescent="0.3">
      <c r="A136" s="100" t="s">
        <v>615</v>
      </c>
      <c r="B136" s="101" t="s">
        <v>205</v>
      </c>
      <c r="C136" s="87">
        <v>209618.75700000001</v>
      </c>
      <c r="D136" s="293">
        <v>94328.440650000004</v>
      </c>
      <c r="E136" s="294">
        <v>20961.875700000004</v>
      </c>
      <c r="F136" s="294">
        <v>94328.440650000004</v>
      </c>
      <c r="G136" s="295"/>
      <c r="H136" s="83">
        <f t="shared" si="39"/>
        <v>94328.440650000004</v>
      </c>
      <c r="I136" s="98">
        <f t="shared" si="40"/>
        <v>20961.875700000004</v>
      </c>
      <c r="J136" s="84">
        <f t="shared" si="41"/>
        <v>94328.440650000004</v>
      </c>
      <c r="K136" s="85"/>
      <c r="L136" s="86">
        <f t="shared" si="32"/>
        <v>94328.440650000004</v>
      </c>
      <c r="M136" s="99" t="s">
        <v>454</v>
      </c>
      <c r="N136" s="207"/>
      <c r="O136" s="207"/>
      <c r="P136" s="117"/>
      <c r="Q136" s="207"/>
    </row>
    <row r="137" spans="1:17" ht="14" x14ac:dyDescent="0.3">
      <c r="A137" s="100" t="s">
        <v>652</v>
      </c>
      <c r="B137" s="101" t="s">
        <v>479</v>
      </c>
      <c r="C137" s="87">
        <v>209421</v>
      </c>
      <c r="D137" s="293">
        <v>43978.409999999996</v>
      </c>
      <c r="E137" s="294">
        <v>18847.89</v>
      </c>
      <c r="F137" s="294">
        <v>146594.69999999998</v>
      </c>
      <c r="G137" s="295" t="s">
        <v>854</v>
      </c>
      <c r="H137" s="83">
        <f>C137*0.21</f>
        <v>43978.409999999996</v>
      </c>
      <c r="I137" s="98">
        <f>C137*0.09</f>
        <v>18847.89</v>
      </c>
      <c r="J137" s="84">
        <f>C137*0.7</f>
        <v>146594.69999999998</v>
      </c>
      <c r="K137" s="85"/>
      <c r="L137" s="86">
        <f t="shared" si="32"/>
        <v>146594.69999999998</v>
      </c>
      <c r="M137" s="99" t="s">
        <v>454</v>
      </c>
      <c r="N137" s="207"/>
      <c r="O137" s="207"/>
      <c r="P137" s="117"/>
      <c r="Q137" s="207"/>
    </row>
    <row r="138" spans="1:17" ht="14" x14ac:dyDescent="0.3">
      <c r="A138" s="100" t="s">
        <v>621</v>
      </c>
      <c r="B138" s="101" t="s">
        <v>191</v>
      </c>
      <c r="C138" s="87">
        <v>206177.03700000001</v>
      </c>
      <c r="D138" s="293">
        <v>92779.666650000014</v>
      </c>
      <c r="E138" s="294">
        <v>20617.703700000002</v>
      </c>
      <c r="F138" s="294">
        <v>92779.666650000014</v>
      </c>
      <c r="G138" s="295"/>
      <c r="H138" s="83">
        <f t="shared" ref="H138:H152" si="42">C138*0.45</f>
        <v>92779.666650000014</v>
      </c>
      <c r="I138" s="98">
        <f t="shared" ref="I138:I152" si="43">C138*0.1</f>
        <v>20617.703700000002</v>
      </c>
      <c r="J138" s="84">
        <f t="shared" ref="J138:J152" si="44">C138*0.45</f>
        <v>92779.666650000014</v>
      </c>
      <c r="K138" s="85"/>
      <c r="L138" s="86">
        <f t="shared" si="32"/>
        <v>92779.666650000014</v>
      </c>
      <c r="M138" s="99" t="s">
        <v>454</v>
      </c>
      <c r="N138" s="207"/>
      <c r="O138" s="207"/>
      <c r="P138" s="117"/>
      <c r="Q138" s="207"/>
    </row>
    <row r="139" spans="1:17" ht="14" x14ac:dyDescent="0.3">
      <c r="A139" s="100" t="s">
        <v>613</v>
      </c>
      <c r="B139" s="101" t="s">
        <v>614</v>
      </c>
      <c r="C139" s="87">
        <v>200778.33900000001</v>
      </c>
      <c r="D139" s="293">
        <v>90350.252550000005</v>
      </c>
      <c r="E139" s="294">
        <v>20077.833900000001</v>
      </c>
      <c r="F139" s="294">
        <v>90350.252550000005</v>
      </c>
      <c r="G139" s="295"/>
      <c r="H139" s="83">
        <f t="shared" si="42"/>
        <v>90350.252550000005</v>
      </c>
      <c r="I139" s="98">
        <f t="shared" si="43"/>
        <v>20077.833900000001</v>
      </c>
      <c r="J139" s="84">
        <f t="shared" si="44"/>
        <v>90350.252550000005</v>
      </c>
      <c r="K139" s="85"/>
      <c r="L139" s="86">
        <f t="shared" si="32"/>
        <v>90350.252550000005</v>
      </c>
      <c r="M139" s="99" t="s">
        <v>454</v>
      </c>
      <c r="N139" s="207"/>
      <c r="O139" s="207"/>
      <c r="P139" s="117"/>
      <c r="Q139" s="207"/>
    </row>
    <row r="140" spans="1:17" ht="14" x14ac:dyDescent="0.3">
      <c r="A140" s="100" t="s">
        <v>617</v>
      </c>
      <c r="B140" s="101" t="s">
        <v>236</v>
      </c>
      <c r="C140" s="87">
        <v>193322.61300000001</v>
      </c>
      <c r="D140" s="293">
        <v>86995.175850000014</v>
      </c>
      <c r="E140" s="294">
        <v>19332.261300000002</v>
      </c>
      <c r="F140" s="294">
        <v>86995.175850000014</v>
      </c>
      <c r="G140" s="295"/>
      <c r="H140" s="83">
        <f t="shared" si="42"/>
        <v>86995.175850000014</v>
      </c>
      <c r="I140" s="98">
        <f t="shared" si="43"/>
        <v>19332.261300000002</v>
      </c>
      <c r="J140" s="84">
        <f t="shared" si="44"/>
        <v>86995.175850000014</v>
      </c>
      <c r="K140" s="85"/>
      <c r="L140" s="86">
        <f t="shared" si="32"/>
        <v>86995.175850000014</v>
      </c>
      <c r="M140" s="99" t="s">
        <v>454</v>
      </c>
      <c r="N140" s="207"/>
      <c r="O140" s="207"/>
      <c r="P140" s="117"/>
      <c r="Q140" s="207"/>
    </row>
    <row r="141" spans="1:17" ht="14" x14ac:dyDescent="0.3">
      <c r="A141" s="100" t="s">
        <v>602</v>
      </c>
      <c r="B141" s="101" t="s">
        <v>603</v>
      </c>
      <c r="C141" s="87">
        <v>191229.56700000001</v>
      </c>
      <c r="D141" s="293">
        <v>86053.30515</v>
      </c>
      <c r="E141" s="294">
        <v>19122.956700000002</v>
      </c>
      <c r="F141" s="294">
        <v>86053.30515</v>
      </c>
      <c r="G141" s="295"/>
      <c r="H141" s="83">
        <f t="shared" si="42"/>
        <v>86053.30515</v>
      </c>
      <c r="I141" s="98">
        <f t="shared" si="43"/>
        <v>19122.956700000002</v>
      </c>
      <c r="J141" s="84">
        <f t="shared" si="44"/>
        <v>86053.30515</v>
      </c>
      <c r="K141" s="85"/>
      <c r="L141" s="86">
        <f t="shared" si="32"/>
        <v>86053.30515</v>
      </c>
      <c r="M141" s="99" t="s">
        <v>454</v>
      </c>
      <c r="N141" s="207"/>
      <c r="O141" s="207"/>
      <c r="P141" s="117"/>
      <c r="Q141" s="207"/>
    </row>
    <row r="142" spans="1:17" ht="14" x14ac:dyDescent="0.3">
      <c r="A142" s="100" t="s">
        <v>616</v>
      </c>
      <c r="B142" s="101" t="s">
        <v>190</v>
      </c>
      <c r="C142" s="87">
        <v>185276.592</v>
      </c>
      <c r="D142" s="293">
        <v>83374.466400000005</v>
      </c>
      <c r="E142" s="294">
        <v>18527.659200000002</v>
      </c>
      <c r="F142" s="294">
        <v>83374.466400000005</v>
      </c>
      <c r="G142" s="295"/>
      <c r="H142" s="83">
        <f t="shared" si="42"/>
        <v>83374.466400000005</v>
      </c>
      <c r="I142" s="98">
        <f t="shared" si="43"/>
        <v>18527.659200000002</v>
      </c>
      <c r="J142" s="84">
        <f t="shared" si="44"/>
        <v>83374.466400000005</v>
      </c>
      <c r="K142" s="85"/>
      <c r="L142" s="86">
        <f t="shared" si="32"/>
        <v>83374.466400000005</v>
      </c>
      <c r="M142" s="99" t="s">
        <v>454</v>
      </c>
      <c r="N142" s="207"/>
      <c r="O142" s="207"/>
      <c r="P142" s="117"/>
      <c r="Q142" s="207"/>
    </row>
    <row r="143" spans="1:17" ht="14" x14ac:dyDescent="0.3">
      <c r="A143" s="100" t="s">
        <v>620</v>
      </c>
      <c r="B143" s="101" t="s">
        <v>838</v>
      </c>
      <c r="C143" s="87">
        <v>185243.57550000001</v>
      </c>
      <c r="D143" s="293">
        <v>83359.60897500001</v>
      </c>
      <c r="E143" s="294">
        <v>18524.357550000001</v>
      </c>
      <c r="F143" s="294">
        <v>83359.60897500001</v>
      </c>
      <c r="G143" s="295"/>
      <c r="H143" s="83">
        <f t="shared" si="42"/>
        <v>83359.60897500001</v>
      </c>
      <c r="I143" s="98">
        <f t="shared" si="43"/>
        <v>18524.357550000001</v>
      </c>
      <c r="J143" s="84">
        <f t="shared" si="44"/>
        <v>83359.60897500001</v>
      </c>
      <c r="K143" s="85"/>
      <c r="L143" s="86">
        <f t="shared" si="32"/>
        <v>83359.60897500001</v>
      </c>
      <c r="M143" s="99" t="s">
        <v>454</v>
      </c>
      <c r="N143" s="207"/>
      <c r="O143" s="207"/>
      <c r="P143" s="117"/>
      <c r="Q143" s="207"/>
    </row>
    <row r="144" spans="1:17" ht="14" x14ac:dyDescent="0.3">
      <c r="A144" s="100" t="s">
        <v>623</v>
      </c>
      <c r="B144" s="101" t="s">
        <v>189</v>
      </c>
      <c r="C144" s="87">
        <v>180644.451</v>
      </c>
      <c r="D144" s="293">
        <v>81290.002950000009</v>
      </c>
      <c r="E144" s="294">
        <v>18064.445100000001</v>
      </c>
      <c r="F144" s="294">
        <v>81290.002950000009</v>
      </c>
      <c r="G144" s="295"/>
      <c r="H144" s="83">
        <f t="shared" si="42"/>
        <v>81290.002950000009</v>
      </c>
      <c r="I144" s="98">
        <f t="shared" si="43"/>
        <v>18064.445100000001</v>
      </c>
      <c r="J144" s="84">
        <f t="shared" si="44"/>
        <v>81290.002950000009</v>
      </c>
      <c r="K144" s="85"/>
      <c r="L144" s="86">
        <f t="shared" si="32"/>
        <v>81290.002950000009</v>
      </c>
      <c r="M144" s="99" t="s">
        <v>454</v>
      </c>
      <c r="N144" s="207"/>
      <c r="O144" s="207"/>
      <c r="P144" s="117"/>
      <c r="Q144" s="207"/>
    </row>
    <row r="145" spans="1:17" ht="14" x14ac:dyDescent="0.3">
      <c r="A145" s="100" t="s">
        <v>624</v>
      </c>
      <c r="B145" s="101" t="s">
        <v>201</v>
      </c>
      <c r="C145" s="87">
        <v>180067.989</v>
      </c>
      <c r="D145" s="293">
        <v>81030.595050000004</v>
      </c>
      <c r="E145" s="294">
        <v>18006.798900000002</v>
      </c>
      <c r="F145" s="294">
        <v>81030.595050000004</v>
      </c>
      <c r="G145" s="295"/>
      <c r="H145" s="83">
        <f t="shared" si="42"/>
        <v>81030.595050000004</v>
      </c>
      <c r="I145" s="98">
        <f t="shared" si="43"/>
        <v>18006.798900000002</v>
      </c>
      <c r="J145" s="84">
        <f t="shared" si="44"/>
        <v>81030.595050000004</v>
      </c>
      <c r="K145" s="85"/>
      <c r="L145" s="86">
        <f t="shared" si="32"/>
        <v>81030.595050000004</v>
      </c>
      <c r="M145" s="99" t="s">
        <v>454</v>
      </c>
      <c r="N145" s="207"/>
      <c r="O145" s="207"/>
      <c r="P145" s="117"/>
      <c r="Q145" s="207"/>
    </row>
    <row r="146" spans="1:17" ht="14" x14ac:dyDescent="0.3">
      <c r="A146" s="100" t="s">
        <v>625</v>
      </c>
      <c r="B146" s="101" t="s">
        <v>47</v>
      </c>
      <c r="C146" s="87">
        <v>175297.60500000001</v>
      </c>
      <c r="D146" s="293">
        <v>78883.922250000003</v>
      </c>
      <c r="E146" s="294">
        <v>17529.7605</v>
      </c>
      <c r="F146" s="294">
        <v>78883.922250000003</v>
      </c>
      <c r="G146" s="295"/>
      <c r="H146" s="83">
        <f t="shared" si="42"/>
        <v>78883.922250000003</v>
      </c>
      <c r="I146" s="98">
        <f t="shared" si="43"/>
        <v>17529.7605</v>
      </c>
      <c r="J146" s="84">
        <f t="shared" si="44"/>
        <v>78883.922250000003</v>
      </c>
      <c r="K146" s="85"/>
      <c r="L146" s="86">
        <f t="shared" si="32"/>
        <v>78883.922250000003</v>
      </c>
      <c r="M146" s="99" t="s">
        <v>454</v>
      </c>
      <c r="N146" s="207"/>
      <c r="O146" s="207"/>
      <c r="P146" s="117"/>
      <c r="Q146" s="207"/>
    </row>
    <row r="147" spans="1:17" ht="14" x14ac:dyDescent="0.3">
      <c r="A147" s="100" t="s">
        <v>627</v>
      </c>
      <c r="B147" s="101" t="s">
        <v>219</v>
      </c>
      <c r="C147" s="87">
        <v>170715.315</v>
      </c>
      <c r="D147" s="293">
        <v>76821.89175000001</v>
      </c>
      <c r="E147" s="294">
        <v>17071.531500000001</v>
      </c>
      <c r="F147" s="294">
        <v>76821.89175000001</v>
      </c>
      <c r="G147" s="295"/>
      <c r="H147" s="83">
        <f t="shared" si="42"/>
        <v>76821.89175000001</v>
      </c>
      <c r="I147" s="98">
        <f t="shared" si="43"/>
        <v>17071.531500000001</v>
      </c>
      <c r="J147" s="84">
        <f t="shared" si="44"/>
        <v>76821.89175000001</v>
      </c>
      <c r="K147" s="85"/>
      <c r="L147" s="86">
        <f t="shared" si="32"/>
        <v>76821.89175000001</v>
      </c>
      <c r="M147" s="99" t="s">
        <v>454</v>
      </c>
      <c r="N147" s="207"/>
      <c r="O147" s="207"/>
      <c r="P147" s="117"/>
      <c r="Q147" s="207"/>
    </row>
    <row r="148" spans="1:17" ht="14" x14ac:dyDescent="0.3">
      <c r="A148" s="100" t="s">
        <v>628</v>
      </c>
      <c r="B148" s="101" t="s">
        <v>215</v>
      </c>
      <c r="C148" s="87">
        <v>168828.372</v>
      </c>
      <c r="D148" s="293">
        <v>75972.767399999997</v>
      </c>
      <c r="E148" s="294">
        <v>16882.837200000002</v>
      </c>
      <c r="F148" s="294">
        <v>75972.767399999997</v>
      </c>
      <c r="G148" s="295"/>
      <c r="H148" s="83">
        <f t="shared" si="42"/>
        <v>75972.767399999997</v>
      </c>
      <c r="I148" s="98">
        <f t="shared" si="43"/>
        <v>16882.837200000002</v>
      </c>
      <c r="J148" s="84">
        <f t="shared" si="44"/>
        <v>75972.767399999997</v>
      </c>
      <c r="K148" s="85"/>
      <c r="L148" s="86">
        <f t="shared" si="32"/>
        <v>75972.767399999997</v>
      </c>
      <c r="M148" s="99" t="s">
        <v>454</v>
      </c>
      <c r="N148" s="207"/>
      <c r="O148" s="207"/>
      <c r="P148" s="117"/>
      <c r="Q148" s="207"/>
    </row>
    <row r="149" spans="1:17" ht="14" x14ac:dyDescent="0.3">
      <c r="A149" s="100" t="s">
        <v>660</v>
      </c>
      <c r="B149" s="101" t="s">
        <v>661</v>
      </c>
      <c r="C149" s="87">
        <v>167545.731</v>
      </c>
      <c r="D149" s="293">
        <v>75395.578949999996</v>
      </c>
      <c r="E149" s="294">
        <v>16754.573100000001</v>
      </c>
      <c r="F149" s="294">
        <v>75395.578949999996</v>
      </c>
      <c r="G149" s="295"/>
      <c r="H149" s="83">
        <f t="shared" si="42"/>
        <v>75395.578949999996</v>
      </c>
      <c r="I149" s="98">
        <f t="shared" si="43"/>
        <v>16754.573100000001</v>
      </c>
      <c r="J149" s="84">
        <f t="shared" si="44"/>
        <v>75395.578949999996</v>
      </c>
      <c r="K149" s="85"/>
      <c r="L149" s="86">
        <f t="shared" si="32"/>
        <v>75395.578949999996</v>
      </c>
      <c r="M149" s="99" t="s">
        <v>454</v>
      </c>
      <c r="N149" s="207"/>
      <c r="O149" s="207"/>
      <c r="P149" s="117"/>
      <c r="Q149" s="207"/>
    </row>
    <row r="150" spans="1:17" ht="14.5" customHeight="1" x14ac:dyDescent="0.3">
      <c r="A150" s="100" t="s">
        <v>639</v>
      </c>
      <c r="B150" s="101" t="s">
        <v>208</v>
      </c>
      <c r="C150" s="87">
        <v>165036.47700000001</v>
      </c>
      <c r="D150" s="296">
        <v>74266.414650000006</v>
      </c>
      <c r="E150" s="297">
        <v>16503.647700000001</v>
      </c>
      <c r="F150" s="297">
        <v>74266.414650000006</v>
      </c>
      <c r="G150" s="298"/>
      <c r="H150" s="83">
        <f t="shared" si="42"/>
        <v>74266.414650000006</v>
      </c>
      <c r="I150" s="98">
        <f t="shared" si="43"/>
        <v>16503.647700000001</v>
      </c>
      <c r="J150" s="84">
        <f t="shared" si="44"/>
        <v>74266.414650000006</v>
      </c>
      <c r="K150" s="85"/>
      <c r="L150" s="86">
        <f t="shared" si="32"/>
        <v>74266.414650000006</v>
      </c>
      <c r="M150" s="99" t="s">
        <v>454</v>
      </c>
      <c r="N150" s="207"/>
      <c r="O150" s="207"/>
      <c r="P150" s="117"/>
      <c r="Q150" s="207"/>
    </row>
    <row r="151" spans="1:17" ht="14" x14ac:dyDescent="0.3">
      <c r="A151" s="100" t="s">
        <v>638</v>
      </c>
      <c r="B151" s="101" t="s">
        <v>279</v>
      </c>
      <c r="C151" s="87">
        <v>164670.29399999999</v>
      </c>
      <c r="D151" s="293">
        <v>74101.632299999997</v>
      </c>
      <c r="E151" s="294">
        <v>16467.029399999999</v>
      </c>
      <c r="F151" s="294">
        <v>74101.632299999997</v>
      </c>
      <c r="G151" s="295"/>
      <c r="H151" s="83">
        <f t="shared" si="42"/>
        <v>74101.632299999997</v>
      </c>
      <c r="I151" s="98">
        <f t="shared" si="43"/>
        <v>16467.029399999999</v>
      </c>
      <c r="J151" s="84">
        <f t="shared" si="44"/>
        <v>74101.632299999997</v>
      </c>
      <c r="K151" s="85"/>
      <c r="L151" s="86">
        <f t="shared" si="32"/>
        <v>74101.632299999997</v>
      </c>
      <c r="M151" s="99" t="s">
        <v>454</v>
      </c>
      <c r="N151" s="207"/>
      <c r="O151" s="207"/>
      <c r="P151" s="117"/>
      <c r="Q151" s="207"/>
    </row>
    <row r="152" spans="1:17" ht="14" x14ac:dyDescent="0.3">
      <c r="A152" s="100" t="s">
        <v>633</v>
      </c>
      <c r="B152" s="101" t="s">
        <v>247</v>
      </c>
      <c r="C152" s="87">
        <v>159961.94099999999</v>
      </c>
      <c r="D152" s="293">
        <v>71982.873449999999</v>
      </c>
      <c r="E152" s="294">
        <v>15996.194100000001</v>
      </c>
      <c r="F152" s="294">
        <v>71982.873449999999</v>
      </c>
      <c r="G152" s="295"/>
      <c r="H152" s="83">
        <f t="shared" si="42"/>
        <v>71982.873449999999</v>
      </c>
      <c r="I152" s="98">
        <f t="shared" si="43"/>
        <v>15996.194100000001</v>
      </c>
      <c r="J152" s="84">
        <f t="shared" si="44"/>
        <v>71982.873449999999</v>
      </c>
      <c r="K152" s="85"/>
      <c r="L152" s="86">
        <f t="shared" si="32"/>
        <v>71982.873449999999</v>
      </c>
      <c r="M152" s="99" t="s">
        <v>454</v>
      </c>
      <c r="N152" s="207"/>
      <c r="O152" s="207"/>
      <c r="P152" s="117"/>
      <c r="Q152" s="207"/>
    </row>
    <row r="153" spans="1:17" ht="14" x14ac:dyDescent="0.3">
      <c r="A153" s="100" t="s">
        <v>642</v>
      </c>
      <c r="B153" s="101" t="s">
        <v>335</v>
      </c>
      <c r="C153" s="87">
        <v>157809.03899999999</v>
      </c>
      <c r="D153" s="293">
        <v>0</v>
      </c>
      <c r="E153" s="294">
        <v>0</v>
      </c>
      <c r="F153" s="294">
        <v>157809.03899999999</v>
      </c>
      <c r="G153" s="295" t="s">
        <v>14</v>
      </c>
      <c r="H153" s="83">
        <f>C153*0</f>
        <v>0</v>
      </c>
      <c r="I153" s="98">
        <f>C153*0</f>
        <v>0</v>
      </c>
      <c r="J153" s="84">
        <f>C153*1</f>
        <v>157809.03899999999</v>
      </c>
      <c r="K153" s="85"/>
      <c r="L153" s="86">
        <f t="shared" si="32"/>
        <v>157809.03899999999</v>
      </c>
      <c r="M153" s="99" t="s">
        <v>454</v>
      </c>
      <c r="N153" s="207"/>
      <c r="O153" s="207"/>
      <c r="P153" s="117"/>
      <c r="Q153" s="207"/>
    </row>
    <row r="154" spans="1:17" ht="14" x14ac:dyDescent="0.3">
      <c r="A154" s="100" t="s">
        <v>631</v>
      </c>
      <c r="B154" s="101" t="s">
        <v>298</v>
      </c>
      <c r="C154" s="87">
        <v>157716.81899999999</v>
      </c>
      <c r="D154" s="293">
        <v>70972.568549999996</v>
      </c>
      <c r="E154" s="294">
        <v>15771.6819</v>
      </c>
      <c r="F154" s="294">
        <v>70972.568549999996</v>
      </c>
      <c r="G154" s="295"/>
      <c r="H154" s="83">
        <f t="shared" ref="H154:H162" si="45">C154*0.45</f>
        <v>70972.568549999996</v>
      </c>
      <c r="I154" s="98">
        <f t="shared" ref="I154:I162" si="46">C154*0.1</f>
        <v>15771.6819</v>
      </c>
      <c r="J154" s="84">
        <f t="shared" ref="J154:J162" si="47">C154*0.45</f>
        <v>70972.568549999996</v>
      </c>
      <c r="K154" s="85"/>
      <c r="L154" s="86">
        <f t="shared" si="32"/>
        <v>70972.568549999996</v>
      </c>
      <c r="M154" s="99" t="s">
        <v>454</v>
      </c>
      <c r="N154" s="207"/>
      <c r="O154" s="207"/>
      <c r="P154" s="117"/>
      <c r="Q154" s="207"/>
    </row>
    <row r="155" spans="1:17" ht="14" x14ac:dyDescent="0.3">
      <c r="A155" s="100" t="s">
        <v>705</v>
      </c>
      <c r="B155" s="101" t="s">
        <v>254</v>
      </c>
      <c r="C155" s="87">
        <v>154709.31599999999</v>
      </c>
      <c r="D155" s="293">
        <v>69619.192200000005</v>
      </c>
      <c r="E155" s="294">
        <v>15470.9316</v>
      </c>
      <c r="F155" s="294">
        <v>69619.192200000005</v>
      </c>
      <c r="G155" s="295"/>
      <c r="H155" s="83">
        <f t="shared" si="45"/>
        <v>69619.192200000005</v>
      </c>
      <c r="I155" s="98">
        <f t="shared" si="46"/>
        <v>15470.9316</v>
      </c>
      <c r="J155" s="84">
        <f t="shared" si="47"/>
        <v>69619.192200000005</v>
      </c>
      <c r="K155" s="85"/>
      <c r="L155" s="86">
        <f t="shared" si="32"/>
        <v>69619.192200000005</v>
      </c>
      <c r="M155" s="99" t="s">
        <v>454</v>
      </c>
      <c r="N155" s="207"/>
      <c r="O155" s="207"/>
      <c r="P155" s="117"/>
      <c r="Q155" s="207"/>
    </row>
    <row r="156" spans="1:17" ht="14" x14ac:dyDescent="0.3">
      <c r="A156" s="100" t="s">
        <v>648</v>
      </c>
      <c r="B156" s="101" t="s">
        <v>280</v>
      </c>
      <c r="C156" s="87">
        <v>146197.06200000001</v>
      </c>
      <c r="D156" s="293">
        <v>65788.67790000001</v>
      </c>
      <c r="E156" s="294">
        <v>14619.706200000001</v>
      </c>
      <c r="F156" s="294">
        <v>65788.67790000001</v>
      </c>
      <c r="G156" s="295"/>
      <c r="H156" s="83">
        <f t="shared" si="45"/>
        <v>65788.67790000001</v>
      </c>
      <c r="I156" s="98">
        <f t="shared" si="46"/>
        <v>14619.706200000001</v>
      </c>
      <c r="J156" s="84">
        <f t="shared" si="47"/>
        <v>65788.67790000001</v>
      </c>
      <c r="K156" s="85"/>
      <c r="L156" s="86">
        <f t="shared" si="32"/>
        <v>65788.67790000001</v>
      </c>
      <c r="M156" s="99" t="s">
        <v>454</v>
      </c>
      <c r="N156" s="207"/>
      <c r="O156" s="207"/>
      <c r="P156" s="117"/>
      <c r="Q156" s="207"/>
    </row>
    <row r="157" spans="1:17" ht="14" x14ac:dyDescent="0.3">
      <c r="A157" s="100" t="s">
        <v>636</v>
      </c>
      <c r="B157" s="101" t="s">
        <v>278</v>
      </c>
      <c r="C157" s="87">
        <v>146036.98199999999</v>
      </c>
      <c r="D157" s="293">
        <v>65716.641900000002</v>
      </c>
      <c r="E157" s="294">
        <v>14603.698199999999</v>
      </c>
      <c r="F157" s="294">
        <v>65716.641900000002</v>
      </c>
      <c r="G157" s="295"/>
      <c r="H157" s="83">
        <f t="shared" si="45"/>
        <v>65716.641900000002</v>
      </c>
      <c r="I157" s="98">
        <f t="shared" si="46"/>
        <v>14603.698199999999</v>
      </c>
      <c r="J157" s="84">
        <f t="shared" si="47"/>
        <v>65716.641900000002</v>
      </c>
      <c r="K157" s="85"/>
      <c r="L157" s="86">
        <f t="shared" si="32"/>
        <v>65716.641900000002</v>
      </c>
      <c r="M157" s="99" t="s">
        <v>454</v>
      </c>
      <c r="N157" s="207"/>
      <c r="O157" s="207"/>
      <c r="P157" s="117"/>
      <c r="Q157" s="207"/>
    </row>
    <row r="158" spans="1:17" ht="14" x14ac:dyDescent="0.3">
      <c r="A158" s="100" t="s">
        <v>651</v>
      </c>
      <c r="B158" s="101" t="s">
        <v>223</v>
      </c>
      <c r="C158" s="87">
        <v>142983.45600000001</v>
      </c>
      <c r="D158" s="293">
        <v>64342.555200000003</v>
      </c>
      <c r="E158" s="294">
        <v>14298.345600000001</v>
      </c>
      <c r="F158" s="294">
        <v>64342.555200000003</v>
      </c>
      <c r="G158" s="295"/>
      <c r="H158" s="83">
        <f t="shared" si="45"/>
        <v>64342.555200000003</v>
      </c>
      <c r="I158" s="98">
        <f t="shared" si="46"/>
        <v>14298.345600000001</v>
      </c>
      <c r="J158" s="84">
        <f t="shared" si="47"/>
        <v>64342.555200000003</v>
      </c>
      <c r="K158" s="85"/>
      <c r="L158" s="86">
        <f t="shared" si="32"/>
        <v>64342.555200000003</v>
      </c>
      <c r="M158" s="99" t="s">
        <v>454</v>
      </c>
      <c r="N158" s="207"/>
      <c r="O158" s="207"/>
      <c r="P158" s="117"/>
      <c r="Q158" s="207"/>
    </row>
    <row r="159" spans="1:17" ht="14" x14ac:dyDescent="0.3">
      <c r="A159" s="100" t="s">
        <v>685</v>
      </c>
      <c r="B159" s="101" t="s">
        <v>481</v>
      </c>
      <c r="C159" s="87">
        <v>142575.25200000001</v>
      </c>
      <c r="D159" s="293">
        <v>64158.863400000002</v>
      </c>
      <c r="E159" s="294">
        <v>14257.525200000002</v>
      </c>
      <c r="F159" s="294">
        <v>64158.863400000002</v>
      </c>
      <c r="G159" s="295"/>
      <c r="H159" s="83">
        <f t="shared" si="45"/>
        <v>64158.863400000002</v>
      </c>
      <c r="I159" s="98">
        <f t="shared" si="46"/>
        <v>14257.525200000002</v>
      </c>
      <c r="J159" s="84">
        <f t="shared" si="47"/>
        <v>64158.863400000002</v>
      </c>
      <c r="K159" s="85"/>
      <c r="L159" s="86">
        <f t="shared" si="32"/>
        <v>64158.863400000002</v>
      </c>
      <c r="M159" s="99" t="s">
        <v>454</v>
      </c>
      <c r="N159" s="207"/>
      <c r="O159" s="207"/>
      <c r="P159" s="117"/>
      <c r="Q159" s="207"/>
    </row>
    <row r="160" spans="1:17" ht="14" x14ac:dyDescent="0.3">
      <c r="A160" s="100" t="s">
        <v>644</v>
      </c>
      <c r="B160" s="101" t="s">
        <v>207</v>
      </c>
      <c r="C160" s="87">
        <v>141608.5575</v>
      </c>
      <c r="D160" s="293">
        <v>63723.850874999996</v>
      </c>
      <c r="E160" s="294">
        <v>14160.855750000001</v>
      </c>
      <c r="F160" s="294">
        <v>63723.850874999996</v>
      </c>
      <c r="G160" s="295"/>
      <c r="H160" s="83">
        <f t="shared" si="45"/>
        <v>63723.850874999996</v>
      </c>
      <c r="I160" s="98">
        <f t="shared" si="46"/>
        <v>14160.855750000001</v>
      </c>
      <c r="J160" s="84">
        <f t="shared" si="47"/>
        <v>63723.850874999996</v>
      </c>
      <c r="K160" s="85"/>
      <c r="L160" s="86">
        <f t="shared" si="32"/>
        <v>63723.850874999996</v>
      </c>
      <c r="M160" s="99" t="s">
        <v>454</v>
      </c>
      <c r="N160" s="207"/>
      <c r="O160" s="207"/>
      <c r="P160" s="117"/>
      <c r="Q160" s="207"/>
    </row>
    <row r="161" spans="1:17" ht="14" x14ac:dyDescent="0.3">
      <c r="A161" s="100" t="s">
        <v>646</v>
      </c>
      <c r="B161" s="101" t="s">
        <v>218</v>
      </c>
      <c r="C161" s="87">
        <v>138595.26300000001</v>
      </c>
      <c r="D161" s="293">
        <v>62367.868350000004</v>
      </c>
      <c r="E161" s="294">
        <v>13859.526300000001</v>
      </c>
      <c r="F161" s="294">
        <v>62367.868350000004</v>
      </c>
      <c r="G161" s="295"/>
      <c r="H161" s="83">
        <f t="shared" si="45"/>
        <v>62367.868350000004</v>
      </c>
      <c r="I161" s="98">
        <f t="shared" si="46"/>
        <v>13859.526300000001</v>
      </c>
      <c r="J161" s="84">
        <f t="shared" si="47"/>
        <v>62367.868350000004</v>
      </c>
      <c r="K161" s="85"/>
      <c r="L161" s="86">
        <f t="shared" si="32"/>
        <v>62367.868350000004</v>
      </c>
      <c r="M161" s="99" t="s">
        <v>454</v>
      </c>
      <c r="N161" s="207"/>
      <c r="O161" s="207"/>
      <c r="P161" s="117"/>
      <c r="Q161" s="207"/>
    </row>
    <row r="162" spans="1:17" ht="14" x14ac:dyDescent="0.3">
      <c r="A162" s="100" t="s">
        <v>647</v>
      </c>
      <c r="B162" s="101" t="s">
        <v>227</v>
      </c>
      <c r="C162" s="87">
        <v>138329.13</v>
      </c>
      <c r="D162" s="293">
        <v>62248.108500000002</v>
      </c>
      <c r="E162" s="294">
        <v>13832.913</v>
      </c>
      <c r="F162" s="294">
        <v>62248.108500000002</v>
      </c>
      <c r="G162" s="295"/>
      <c r="H162" s="83">
        <f t="shared" si="45"/>
        <v>62248.108500000002</v>
      </c>
      <c r="I162" s="98">
        <f t="shared" si="46"/>
        <v>13832.913</v>
      </c>
      <c r="J162" s="84">
        <f t="shared" si="47"/>
        <v>62248.108500000002</v>
      </c>
      <c r="K162" s="85"/>
      <c r="L162" s="86">
        <f t="shared" si="32"/>
        <v>62248.108500000002</v>
      </c>
      <c r="M162" s="99" t="s">
        <v>454</v>
      </c>
      <c r="N162" s="207"/>
      <c r="O162" s="207"/>
      <c r="P162" s="117"/>
      <c r="Q162" s="207"/>
    </row>
    <row r="163" spans="1:17" ht="14" x14ac:dyDescent="0.3">
      <c r="A163" s="100" t="s">
        <v>668</v>
      </c>
      <c r="B163" s="101" t="s">
        <v>480</v>
      </c>
      <c r="C163" s="87">
        <v>138114.33300000001</v>
      </c>
      <c r="D163" s="293">
        <v>42815.443230000004</v>
      </c>
      <c r="E163" s="294">
        <v>12430.289970000002</v>
      </c>
      <c r="F163" s="294">
        <v>82868.599800000011</v>
      </c>
      <c r="G163" s="295" t="s">
        <v>855</v>
      </c>
      <c r="H163" s="83">
        <f>C163*0.31</f>
        <v>42815.443230000004</v>
      </c>
      <c r="I163" s="98">
        <f>C163*0.09</f>
        <v>12430.289970000002</v>
      </c>
      <c r="J163" s="84">
        <f>C163*0.6</f>
        <v>82868.599800000011</v>
      </c>
      <c r="K163" s="85"/>
      <c r="L163" s="86">
        <f t="shared" si="32"/>
        <v>82868.599800000011</v>
      </c>
      <c r="M163" s="99" t="s">
        <v>454</v>
      </c>
      <c r="N163" s="207"/>
      <c r="O163" s="207"/>
      <c r="P163" s="117"/>
      <c r="Q163" s="207"/>
    </row>
    <row r="164" spans="1:17" ht="14" x14ac:dyDescent="0.3">
      <c r="A164" s="100" t="s">
        <v>649</v>
      </c>
      <c r="B164" s="101" t="s">
        <v>288</v>
      </c>
      <c r="C164" s="87">
        <v>132946.44</v>
      </c>
      <c r="D164" s="293">
        <v>59825.898000000001</v>
      </c>
      <c r="E164" s="294">
        <v>13294.644</v>
      </c>
      <c r="F164" s="294">
        <v>59825.898000000001</v>
      </c>
      <c r="G164" s="295"/>
      <c r="H164" s="83">
        <f t="shared" ref="H164:H171" si="48">C164*0.45</f>
        <v>59825.898000000001</v>
      </c>
      <c r="I164" s="98">
        <f t="shared" ref="I164:I171" si="49">C164*0.1</f>
        <v>13294.644</v>
      </c>
      <c r="J164" s="84">
        <f t="shared" ref="J164:J171" si="50">C164*0.45</f>
        <v>59825.898000000001</v>
      </c>
      <c r="K164" s="85"/>
      <c r="L164" s="86">
        <f t="shared" si="32"/>
        <v>59825.898000000001</v>
      </c>
      <c r="M164" s="99" t="s">
        <v>454</v>
      </c>
      <c r="N164" s="207"/>
      <c r="O164" s="207"/>
      <c r="P164" s="117"/>
      <c r="Q164" s="207"/>
    </row>
    <row r="165" spans="1:17" ht="14" x14ac:dyDescent="0.3">
      <c r="A165" s="100" t="s">
        <v>641</v>
      </c>
      <c r="B165" s="101" t="s">
        <v>271</v>
      </c>
      <c r="C165" s="87">
        <v>132870.402</v>
      </c>
      <c r="D165" s="293">
        <v>59791.680899999999</v>
      </c>
      <c r="E165" s="294">
        <v>13287.040200000001</v>
      </c>
      <c r="F165" s="294">
        <v>59791.680899999999</v>
      </c>
      <c r="G165" s="295"/>
      <c r="H165" s="83">
        <f t="shared" si="48"/>
        <v>59791.680899999999</v>
      </c>
      <c r="I165" s="98">
        <f t="shared" si="49"/>
        <v>13287.040200000001</v>
      </c>
      <c r="J165" s="84">
        <f t="shared" si="50"/>
        <v>59791.680899999999</v>
      </c>
      <c r="K165" s="85"/>
      <c r="L165" s="86">
        <f t="shared" si="32"/>
        <v>59791.680899999999</v>
      </c>
      <c r="M165" s="99" t="s">
        <v>454</v>
      </c>
      <c r="N165" s="207"/>
      <c r="O165" s="207"/>
      <c r="P165" s="117"/>
      <c r="Q165" s="207"/>
    </row>
    <row r="166" spans="1:17" ht="14" x14ac:dyDescent="0.3">
      <c r="A166" s="100" t="s">
        <v>634</v>
      </c>
      <c r="B166" s="101" t="s">
        <v>213</v>
      </c>
      <c r="C166" s="87">
        <v>130555.245</v>
      </c>
      <c r="D166" s="293">
        <v>58749.860249999998</v>
      </c>
      <c r="E166" s="294">
        <v>13055.5245</v>
      </c>
      <c r="F166" s="294">
        <v>58749.860249999998</v>
      </c>
      <c r="G166" s="295"/>
      <c r="H166" s="83">
        <f t="shared" si="48"/>
        <v>58749.860249999998</v>
      </c>
      <c r="I166" s="98">
        <f t="shared" si="49"/>
        <v>13055.5245</v>
      </c>
      <c r="J166" s="84">
        <f t="shared" si="50"/>
        <v>58749.860249999998</v>
      </c>
      <c r="K166" s="85"/>
      <c r="L166" s="86">
        <f t="shared" si="32"/>
        <v>58749.860249999998</v>
      </c>
      <c r="M166" s="99" t="s">
        <v>454</v>
      </c>
      <c r="N166" s="207"/>
      <c r="O166" s="207"/>
      <c r="P166" s="117"/>
      <c r="Q166" s="207"/>
    </row>
    <row r="167" spans="1:17" ht="14" x14ac:dyDescent="0.3">
      <c r="A167" s="100" t="s">
        <v>650</v>
      </c>
      <c r="B167" s="101" t="s">
        <v>251</v>
      </c>
      <c r="C167" s="87">
        <v>128974.455</v>
      </c>
      <c r="D167" s="293">
        <v>58038.50475</v>
      </c>
      <c r="E167" s="294">
        <v>12897.445500000002</v>
      </c>
      <c r="F167" s="294">
        <v>58038.50475</v>
      </c>
      <c r="G167" s="295"/>
      <c r="H167" s="83">
        <f t="shared" si="48"/>
        <v>58038.50475</v>
      </c>
      <c r="I167" s="98">
        <f t="shared" si="49"/>
        <v>12897.445500000002</v>
      </c>
      <c r="J167" s="84">
        <f t="shared" si="50"/>
        <v>58038.50475</v>
      </c>
      <c r="K167" s="85"/>
      <c r="L167" s="86">
        <f t="shared" si="32"/>
        <v>58038.50475</v>
      </c>
      <c r="M167" s="99" t="s">
        <v>454</v>
      </c>
      <c r="N167" s="207"/>
      <c r="O167" s="207"/>
      <c r="P167" s="117"/>
      <c r="Q167" s="207"/>
    </row>
    <row r="168" spans="1:17" ht="14" x14ac:dyDescent="0.3">
      <c r="A168" s="100" t="s">
        <v>619</v>
      </c>
      <c r="B168" s="101" t="s">
        <v>235</v>
      </c>
      <c r="C168" s="87">
        <v>127741.83900000001</v>
      </c>
      <c r="D168" s="293">
        <v>57483.827550000002</v>
      </c>
      <c r="E168" s="294">
        <v>12774.183900000002</v>
      </c>
      <c r="F168" s="294">
        <v>57483.827550000002</v>
      </c>
      <c r="G168" s="295"/>
      <c r="H168" s="83">
        <f t="shared" si="48"/>
        <v>57483.827550000002</v>
      </c>
      <c r="I168" s="98">
        <f t="shared" si="49"/>
        <v>12774.183900000002</v>
      </c>
      <c r="J168" s="84">
        <f t="shared" si="50"/>
        <v>57483.827550000002</v>
      </c>
      <c r="K168" s="85"/>
      <c r="L168" s="86">
        <f t="shared" si="32"/>
        <v>57483.827550000002</v>
      </c>
      <c r="M168" s="99" t="s">
        <v>454</v>
      </c>
      <c r="N168" s="207"/>
      <c r="O168" s="207"/>
      <c r="P168" s="117"/>
      <c r="Q168" s="207"/>
    </row>
    <row r="169" spans="1:17" ht="14" x14ac:dyDescent="0.3">
      <c r="A169" s="100" t="s">
        <v>829</v>
      </c>
      <c r="B169" s="101" t="s">
        <v>222</v>
      </c>
      <c r="C169" s="87">
        <v>127199.568</v>
      </c>
      <c r="D169" s="293">
        <v>57239.8056</v>
      </c>
      <c r="E169" s="294">
        <v>12719.9568</v>
      </c>
      <c r="F169" s="294">
        <v>57239.8056</v>
      </c>
      <c r="G169" s="295"/>
      <c r="H169" s="83">
        <f t="shared" si="48"/>
        <v>57239.8056</v>
      </c>
      <c r="I169" s="98">
        <f t="shared" si="49"/>
        <v>12719.9568</v>
      </c>
      <c r="J169" s="84">
        <f t="shared" si="50"/>
        <v>57239.8056</v>
      </c>
      <c r="K169" s="85"/>
      <c r="L169" s="86">
        <f t="shared" si="32"/>
        <v>57239.8056</v>
      </c>
      <c r="M169" s="99" t="s">
        <v>454</v>
      </c>
      <c r="N169" s="207"/>
      <c r="O169" s="207"/>
      <c r="P169" s="117"/>
      <c r="Q169" s="207"/>
    </row>
    <row r="170" spans="1:17" ht="14" x14ac:dyDescent="0.3">
      <c r="A170" s="100" t="s">
        <v>643</v>
      </c>
      <c r="B170" s="101" t="s">
        <v>196</v>
      </c>
      <c r="C170" s="87">
        <v>126541.239</v>
      </c>
      <c r="D170" s="293">
        <v>56943.557550000005</v>
      </c>
      <c r="E170" s="294">
        <v>12654.123900000001</v>
      </c>
      <c r="F170" s="294">
        <v>56943.557550000005</v>
      </c>
      <c r="G170" s="295"/>
      <c r="H170" s="83">
        <f t="shared" si="48"/>
        <v>56943.557550000005</v>
      </c>
      <c r="I170" s="98">
        <f t="shared" si="49"/>
        <v>12654.123900000001</v>
      </c>
      <c r="J170" s="84">
        <f t="shared" si="50"/>
        <v>56943.557550000005</v>
      </c>
      <c r="K170" s="85"/>
      <c r="L170" s="86">
        <f t="shared" si="32"/>
        <v>56943.557550000005</v>
      </c>
      <c r="M170" s="99" t="s">
        <v>454</v>
      </c>
      <c r="N170" s="207"/>
      <c r="O170" s="207"/>
      <c r="P170" s="117"/>
      <c r="Q170" s="207"/>
    </row>
    <row r="171" spans="1:17" ht="14" x14ac:dyDescent="0.3">
      <c r="A171" s="100" t="s">
        <v>670</v>
      </c>
      <c r="B171" s="101" t="s">
        <v>220</v>
      </c>
      <c r="C171" s="87">
        <v>122875.40700000001</v>
      </c>
      <c r="D171" s="293">
        <v>55293.933150000004</v>
      </c>
      <c r="E171" s="294">
        <v>12287.540700000001</v>
      </c>
      <c r="F171" s="294">
        <v>55293.933150000004</v>
      </c>
      <c r="G171" s="295"/>
      <c r="H171" s="83">
        <f t="shared" si="48"/>
        <v>55293.933150000004</v>
      </c>
      <c r="I171" s="98">
        <f t="shared" si="49"/>
        <v>12287.540700000001</v>
      </c>
      <c r="J171" s="84">
        <f t="shared" si="50"/>
        <v>55293.933150000004</v>
      </c>
      <c r="K171" s="85"/>
      <c r="L171" s="86">
        <f t="shared" si="32"/>
        <v>55293.933150000004</v>
      </c>
      <c r="M171" s="99" t="s">
        <v>454</v>
      </c>
      <c r="N171" s="207"/>
      <c r="O171" s="207"/>
      <c r="P171" s="117"/>
      <c r="Q171" s="207"/>
    </row>
    <row r="172" spans="1:17" ht="14" x14ac:dyDescent="0.3">
      <c r="A172" s="100" t="s">
        <v>645</v>
      </c>
      <c r="B172" s="101" t="s">
        <v>479</v>
      </c>
      <c r="C172" s="87">
        <v>122405.61749999999</v>
      </c>
      <c r="D172" s="293">
        <v>25705.179674999996</v>
      </c>
      <c r="E172" s="294">
        <v>11016.505574999999</v>
      </c>
      <c r="F172" s="294">
        <v>85683.932249999983</v>
      </c>
      <c r="G172" s="295" t="s">
        <v>854</v>
      </c>
      <c r="H172" s="83">
        <f>C172*0.21</f>
        <v>25705.179674999996</v>
      </c>
      <c r="I172" s="98">
        <f>C172*0.09</f>
        <v>11016.505574999999</v>
      </c>
      <c r="J172" s="84">
        <f>C172*0.7</f>
        <v>85683.932249999983</v>
      </c>
      <c r="K172" s="85"/>
      <c r="L172" s="86">
        <f t="shared" si="32"/>
        <v>85683.932249999983</v>
      </c>
      <c r="M172" s="99" t="s">
        <v>454</v>
      </c>
      <c r="N172" s="207"/>
      <c r="O172" s="207"/>
      <c r="P172" s="117"/>
      <c r="Q172" s="207"/>
    </row>
    <row r="173" spans="1:17" ht="14" x14ac:dyDescent="0.3">
      <c r="A173" s="100" t="s">
        <v>654</v>
      </c>
      <c r="B173" s="101" t="s">
        <v>238</v>
      </c>
      <c r="C173" s="87">
        <v>117102.522</v>
      </c>
      <c r="D173" s="293">
        <v>52696.134899999997</v>
      </c>
      <c r="E173" s="294">
        <v>11710.252200000001</v>
      </c>
      <c r="F173" s="294">
        <v>52696.134899999997</v>
      </c>
      <c r="G173" s="295"/>
      <c r="H173" s="83">
        <f t="shared" ref="H173:H184" si="51">C173*0.45</f>
        <v>52696.134899999997</v>
      </c>
      <c r="I173" s="98">
        <f t="shared" ref="I173:I184" si="52">C173*0.1</f>
        <v>11710.252200000001</v>
      </c>
      <c r="J173" s="84">
        <f t="shared" ref="J173:J184" si="53">C173*0.45</f>
        <v>52696.134899999997</v>
      </c>
      <c r="K173" s="85"/>
      <c r="L173" s="86">
        <f t="shared" si="32"/>
        <v>52696.134899999997</v>
      </c>
      <c r="M173" s="99" t="s">
        <v>454</v>
      </c>
      <c r="N173" s="207"/>
      <c r="O173" s="207"/>
      <c r="P173" s="117"/>
      <c r="Q173" s="207"/>
    </row>
    <row r="174" spans="1:17" ht="14" x14ac:dyDescent="0.3">
      <c r="A174" s="100" t="s">
        <v>658</v>
      </c>
      <c r="B174" s="101" t="s">
        <v>230</v>
      </c>
      <c r="C174" s="87">
        <v>116452.197</v>
      </c>
      <c r="D174" s="293">
        <v>52403.488649999999</v>
      </c>
      <c r="E174" s="294">
        <v>11645.219700000001</v>
      </c>
      <c r="F174" s="294">
        <v>52403.488649999999</v>
      </c>
      <c r="G174" s="295"/>
      <c r="H174" s="83">
        <f t="shared" si="51"/>
        <v>52403.488649999999</v>
      </c>
      <c r="I174" s="98">
        <f t="shared" si="52"/>
        <v>11645.219700000001</v>
      </c>
      <c r="J174" s="84">
        <f t="shared" si="53"/>
        <v>52403.488649999999</v>
      </c>
      <c r="K174" s="85"/>
      <c r="L174" s="86">
        <f t="shared" si="32"/>
        <v>52403.488649999999</v>
      </c>
      <c r="M174" s="99" t="s">
        <v>454</v>
      </c>
      <c r="N174" s="207"/>
      <c r="O174" s="207"/>
      <c r="P174" s="117"/>
      <c r="Q174" s="207"/>
    </row>
    <row r="175" spans="1:17" ht="14" x14ac:dyDescent="0.3">
      <c r="A175" s="100" t="s">
        <v>653</v>
      </c>
      <c r="B175" s="101" t="s">
        <v>203</v>
      </c>
      <c r="C175" s="87">
        <v>115547.745</v>
      </c>
      <c r="D175" s="293">
        <v>51996.485249999998</v>
      </c>
      <c r="E175" s="294">
        <v>11554.7745</v>
      </c>
      <c r="F175" s="294">
        <v>51996.485249999998</v>
      </c>
      <c r="G175" s="295"/>
      <c r="H175" s="83">
        <f t="shared" si="51"/>
        <v>51996.485249999998</v>
      </c>
      <c r="I175" s="98">
        <f t="shared" si="52"/>
        <v>11554.7745</v>
      </c>
      <c r="J175" s="84">
        <f t="shared" si="53"/>
        <v>51996.485249999998</v>
      </c>
      <c r="K175" s="85"/>
      <c r="L175" s="86">
        <f t="shared" si="32"/>
        <v>51996.485249999998</v>
      </c>
      <c r="M175" s="99" t="s">
        <v>454</v>
      </c>
      <c r="N175" s="207"/>
      <c r="O175" s="207"/>
      <c r="P175" s="117"/>
      <c r="Q175" s="207"/>
    </row>
    <row r="176" spans="1:17" ht="14" x14ac:dyDescent="0.3">
      <c r="A176" s="100" t="s">
        <v>674</v>
      </c>
      <c r="B176" s="101" t="s">
        <v>217</v>
      </c>
      <c r="C176" s="87">
        <v>110747.34600000001</v>
      </c>
      <c r="D176" s="293">
        <v>49836.305700000004</v>
      </c>
      <c r="E176" s="294">
        <v>11074.734600000002</v>
      </c>
      <c r="F176" s="294">
        <v>49836.305700000004</v>
      </c>
      <c r="G176" s="295"/>
      <c r="H176" s="83">
        <f t="shared" si="51"/>
        <v>49836.305700000004</v>
      </c>
      <c r="I176" s="98">
        <f t="shared" si="52"/>
        <v>11074.734600000002</v>
      </c>
      <c r="J176" s="84">
        <f t="shared" si="53"/>
        <v>49836.305700000004</v>
      </c>
      <c r="K176" s="85"/>
      <c r="L176" s="86">
        <f t="shared" si="32"/>
        <v>49836.305700000004</v>
      </c>
      <c r="M176" s="99" t="s">
        <v>454</v>
      </c>
      <c r="N176" s="207"/>
      <c r="O176" s="207"/>
      <c r="P176" s="117"/>
      <c r="Q176" s="207"/>
    </row>
    <row r="177" spans="1:17" ht="14" x14ac:dyDescent="0.3">
      <c r="A177" s="100" t="s">
        <v>666</v>
      </c>
      <c r="B177" s="101" t="s">
        <v>667</v>
      </c>
      <c r="C177" s="87">
        <v>109870.908</v>
      </c>
      <c r="D177" s="293">
        <v>49441.908600000002</v>
      </c>
      <c r="E177" s="294">
        <v>10987.0908</v>
      </c>
      <c r="F177" s="294">
        <v>49441.908600000002</v>
      </c>
      <c r="G177" s="295"/>
      <c r="H177" s="83">
        <f t="shared" si="51"/>
        <v>49441.908600000002</v>
      </c>
      <c r="I177" s="98">
        <f t="shared" si="52"/>
        <v>10987.0908</v>
      </c>
      <c r="J177" s="84">
        <f t="shared" si="53"/>
        <v>49441.908600000002</v>
      </c>
      <c r="K177" s="85"/>
      <c r="L177" s="86">
        <f t="shared" ref="L177:L240" si="54">J177-K177</f>
        <v>49441.908600000002</v>
      </c>
      <c r="M177" s="99" t="s">
        <v>454</v>
      </c>
      <c r="N177" s="207"/>
      <c r="O177" s="207"/>
      <c r="P177" s="117"/>
      <c r="Q177" s="207"/>
    </row>
    <row r="178" spans="1:17" ht="14" x14ac:dyDescent="0.3">
      <c r="A178" s="100" t="s">
        <v>676</v>
      </c>
      <c r="B178" s="101" t="s">
        <v>248</v>
      </c>
      <c r="C178" s="87">
        <v>108704.325</v>
      </c>
      <c r="D178" s="293">
        <v>48916.946250000001</v>
      </c>
      <c r="E178" s="294">
        <v>10870.432500000001</v>
      </c>
      <c r="F178" s="294">
        <v>48916.946250000001</v>
      </c>
      <c r="G178" s="295"/>
      <c r="H178" s="83">
        <f t="shared" si="51"/>
        <v>48916.946250000001</v>
      </c>
      <c r="I178" s="98">
        <f t="shared" si="52"/>
        <v>10870.432500000001</v>
      </c>
      <c r="J178" s="84">
        <f t="shared" si="53"/>
        <v>48916.946250000001</v>
      </c>
      <c r="K178" s="85"/>
      <c r="L178" s="86">
        <f t="shared" si="54"/>
        <v>48916.946250000001</v>
      </c>
      <c r="M178" s="99" t="s">
        <v>454</v>
      </c>
      <c r="N178" s="207"/>
      <c r="O178" s="207"/>
      <c r="P178" s="117"/>
      <c r="Q178" s="207"/>
    </row>
    <row r="179" spans="1:17" ht="14" x14ac:dyDescent="0.3">
      <c r="A179" s="100" t="s">
        <v>677</v>
      </c>
      <c r="B179" s="101" t="s">
        <v>260</v>
      </c>
      <c r="C179" s="87">
        <v>107935.94100000001</v>
      </c>
      <c r="D179" s="293">
        <v>48571.173450000002</v>
      </c>
      <c r="E179" s="294">
        <v>10793.594100000002</v>
      </c>
      <c r="F179" s="294">
        <v>48571.173450000002</v>
      </c>
      <c r="G179" s="295"/>
      <c r="H179" s="83">
        <f t="shared" si="51"/>
        <v>48571.173450000002</v>
      </c>
      <c r="I179" s="98">
        <f t="shared" si="52"/>
        <v>10793.594100000002</v>
      </c>
      <c r="J179" s="84">
        <f t="shared" si="53"/>
        <v>48571.173450000002</v>
      </c>
      <c r="K179" s="85"/>
      <c r="L179" s="86">
        <f t="shared" si="54"/>
        <v>48571.173450000002</v>
      </c>
      <c r="M179" s="99" t="s">
        <v>454</v>
      </c>
      <c r="N179" s="207"/>
      <c r="O179" s="207"/>
      <c r="P179" s="117"/>
      <c r="Q179" s="207"/>
    </row>
    <row r="180" spans="1:17" ht="14" x14ac:dyDescent="0.3">
      <c r="A180" s="100" t="s">
        <v>669</v>
      </c>
      <c r="B180" s="101" t="s">
        <v>234</v>
      </c>
      <c r="C180" s="87">
        <v>107627.787</v>
      </c>
      <c r="D180" s="293">
        <v>48432.504150000001</v>
      </c>
      <c r="E180" s="294">
        <v>10762.778700000001</v>
      </c>
      <c r="F180" s="294">
        <v>48432.504150000001</v>
      </c>
      <c r="G180" s="295"/>
      <c r="H180" s="83">
        <f t="shared" si="51"/>
        <v>48432.504150000001</v>
      </c>
      <c r="I180" s="98">
        <f t="shared" si="52"/>
        <v>10762.778700000001</v>
      </c>
      <c r="J180" s="84">
        <f t="shared" si="53"/>
        <v>48432.504150000001</v>
      </c>
      <c r="K180" s="85"/>
      <c r="L180" s="86">
        <f t="shared" si="54"/>
        <v>48432.504150000001</v>
      </c>
      <c r="M180" s="99" t="s">
        <v>454</v>
      </c>
      <c r="N180" s="207"/>
      <c r="O180" s="207"/>
      <c r="P180" s="117"/>
      <c r="Q180" s="207"/>
    </row>
    <row r="181" spans="1:17" s="105" customFormat="1" ht="14" x14ac:dyDescent="0.3">
      <c r="A181" s="103" t="s">
        <v>664</v>
      </c>
      <c r="B181" s="101" t="s">
        <v>665</v>
      </c>
      <c r="C181" s="87">
        <v>107609.77800000001</v>
      </c>
      <c r="D181" s="293">
        <v>48424.400100000006</v>
      </c>
      <c r="E181" s="294">
        <v>10760.977800000001</v>
      </c>
      <c r="F181" s="294">
        <v>48424.400100000006</v>
      </c>
      <c r="G181" s="295"/>
      <c r="H181" s="83">
        <f t="shared" si="51"/>
        <v>48424.400100000006</v>
      </c>
      <c r="I181" s="98">
        <f t="shared" si="52"/>
        <v>10760.977800000001</v>
      </c>
      <c r="J181" s="84">
        <f t="shared" si="53"/>
        <v>48424.400100000006</v>
      </c>
      <c r="K181" s="85"/>
      <c r="L181" s="86">
        <f t="shared" si="54"/>
        <v>48424.400100000006</v>
      </c>
      <c r="M181" s="99" t="s">
        <v>454</v>
      </c>
      <c r="N181" s="207"/>
      <c r="O181" s="207"/>
      <c r="P181" s="117"/>
      <c r="Q181" s="207"/>
    </row>
    <row r="182" spans="1:17" ht="14" x14ac:dyDescent="0.3">
      <c r="A182" s="100" t="s">
        <v>659</v>
      </c>
      <c r="B182" s="101" t="s">
        <v>228</v>
      </c>
      <c r="C182" s="87">
        <v>106968.501</v>
      </c>
      <c r="D182" s="293">
        <v>48135.825450000004</v>
      </c>
      <c r="E182" s="294">
        <v>10696.850100000001</v>
      </c>
      <c r="F182" s="294">
        <v>48135.825450000004</v>
      </c>
      <c r="G182" s="295"/>
      <c r="H182" s="83">
        <f t="shared" si="51"/>
        <v>48135.825450000004</v>
      </c>
      <c r="I182" s="98">
        <f t="shared" si="52"/>
        <v>10696.850100000001</v>
      </c>
      <c r="J182" s="84">
        <f t="shared" si="53"/>
        <v>48135.825450000004</v>
      </c>
      <c r="K182" s="85"/>
      <c r="L182" s="86">
        <f t="shared" si="54"/>
        <v>48135.825450000004</v>
      </c>
      <c r="M182" s="99" t="s">
        <v>454</v>
      </c>
      <c r="N182" s="207"/>
      <c r="O182" s="207"/>
      <c r="P182" s="117"/>
      <c r="Q182" s="207"/>
    </row>
    <row r="183" spans="1:17" s="105" customFormat="1" ht="14" x14ac:dyDescent="0.3">
      <c r="A183" s="100" t="s">
        <v>655</v>
      </c>
      <c r="B183" s="118" t="s">
        <v>656</v>
      </c>
      <c r="C183" s="87">
        <v>106215.08100000001</v>
      </c>
      <c r="D183" s="299">
        <v>47796.786450000007</v>
      </c>
      <c r="E183" s="300">
        <v>10621.508100000001</v>
      </c>
      <c r="F183" s="300">
        <v>47796.786450000007</v>
      </c>
      <c r="G183" s="301"/>
      <c r="H183" s="83">
        <f t="shared" si="51"/>
        <v>47796.786450000007</v>
      </c>
      <c r="I183" s="98">
        <f t="shared" si="52"/>
        <v>10621.508100000001</v>
      </c>
      <c r="J183" s="84">
        <f t="shared" si="53"/>
        <v>47796.786450000007</v>
      </c>
      <c r="K183" s="85"/>
      <c r="L183" s="86">
        <f t="shared" si="54"/>
        <v>47796.786450000007</v>
      </c>
      <c r="M183" s="99" t="s">
        <v>454</v>
      </c>
      <c r="N183" s="207"/>
      <c r="O183" s="207"/>
      <c r="P183" s="117"/>
      <c r="Q183" s="207"/>
    </row>
    <row r="184" spans="1:17" ht="14" x14ac:dyDescent="0.3">
      <c r="A184" s="100" t="s">
        <v>680</v>
      </c>
      <c r="B184" s="101" t="s">
        <v>249</v>
      </c>
      <c r="C184" s="87">
        <v>105998.973</v>
      </c>
      <c r="D184" s="293">
        <v>47699.537850000001</v>
      </c>
      <c r="E184" s="294">
        <v>10599.897300000001</v>
      </c>
      <c r="F184" s="294">
        <v>47699.537850000001</v>
      </c>
      <c r="G184" s="295"/>
      <c r="H184" s="83">
        <f t="shared" si="51"/>
        <v>47699.537850000001</v>
      </c>
      <c r="I184" s="98">
        <f t="shared" si="52"/>
        <v>10599.897300000001</v>
      </c>
      <c r="J184" s="84">
        <f t="shared" si="53"/>
        <v>47699.537850000001</v>
      </c>
      <c r="K184" s="85"/>
      <c r="L184" s="86">
        <f t="shared" si="54"/>
        <v>47699.537850000001</v>
      </c>
      <c r="M184" s="99" t="s">
        <v>454</v>
      </c>
      <c r="N184" s="207"/>
      <c r="O184" s="207"/>
      <c r="P184" s="117"/>
      <c r="Q184" s="207"/>
    </row>
    <row r="185" spans="1:17" ht="14" x14ac:dyDescent="0.3">
      <c r="A185" s="100" t="s">
        <v>675</v>
      </c>
      <c r="B185" s="101" t="s">
        <v>904</v>
      </c>
      <c r="C185" s="87">
        <v>104351.575</v>
      </c>
      <c r="D185" s="293">
        <v>40175.356375000003</v>
      </c>
      <c r="E185" s="294">
        <v>9391.6417499999989</v>
      </c>
      <c r="F185" s="294">
        <v>54784.576874999999</v>
      </c>
      <c r="G185" s="295" t="s">
        <v>853</v>
      </c>
      <c r="H185" s="83">
        <f>C185*0.385</f>
        <v>40175.356375000003</v>
      </c>
      <c r="I185" s="98">
        <f>C185*0.09</f>
        <v>9391.6417499999989</v>
      </c>
      <c r="J185" s="84">
        <f>C185*0.525</f>
        <v>54784.576874999999</v>
      </c>
      <c r="K185" s="85"/>
      <c r="L185" s="86">
        <f t="shared" si="54"/>
        <v>54784.576874999999</v>
      </c>
      <c r="M185" s="99" t="s">
        <v>454</v>
      </c>
      <c r="N185" s="207"/>
      <c r="O185" s="207"/>
      <c r="P185" s="117"/>
      <c r="Q185" s="207"/>
    </row>
    <row r="186" spans="1:17" ht="14" x14ac:dyDescent="0.3">
      <c r="A186" s="100" t="s">
        <v>786</v>
      </c>
      <c r="B186" s="101" t="s">
        <v>315</v>
      </c>
      <c r="C186" s="87">
        <v>103299.624</v>
      </c>
      <c r="D186" s="293">
        <v>46484.830799999996</v>
      </c>
      <c r="E186" s="294">
        <v>10329.9624</v>
      </c>
      <c r="F186" s="294">
        <v>46484.830799999996</v>
      </c>
      <c r="G186" s="295"/>
      <c r="H186" s="83">
        <f t="shared" ref="H186:H191" si="55">C186*0.45</f>
        <v>46484.830799999996</v>
      </c>
      <c r="I186" s="98">
        <f t="shared" ref="I186:I191" si="56">C186*0.1</f>
        <v>10329.9624</v>
      </c>
      <c r="J186" s="84">
        <f t="shared" ref="J186:J191" si="57">C186*0.45</f>
        <v>46484.830799999996</v>
      </c>
      <c r="K186" s="85"/>
      <c r="L186" s="86">
        <f t="shared" si="54"/>
        <v>46484.830799999996</v>
      </c>
      <c r="M186" s="99" t="s">
        <v>454</v>
      </c>
      <c r="N186" s="207"/>
      <c r="O186" s="207"/>
      <c r="P186" s="117"/>
      <c r="Q186" s="207"/>
    </row>
    <row r="187" spans="1:17" ht="17.5" customHeight="1" x14ac:dyDescent="0.3">
      <c r="A187" s="100" t="s">
        <v>662</v>
      </c>
      <c r="B187" s="118" t="s">
        <v>663</v>
      </c>
      <c r="C187" s="87">
        <v>96992.471999999994</v>
      </c>
      <c r="D187" s="299">
        <v>43646.612399999998</v>
      </c>
      <c r="E187" s="300">
        <v>9699.2471999999998</v>
      </c>
      <c r="F187" s="300">
        <v>43646.612399999998</v>
      </c>
      <c r="G187" s="301"/>
      <c r="H187" s="83">
        <f t="shared" si="55"/>
        <v>43646.612399999998</v>
      </c>
      <c r="I187" s="98">
        <f t="shared" si="56"/>
        <v>9699.2471999999998</v>
      </c>
      <c r="J187" s="84">
        <f t="shared" si="57"/>
        <v>43646.612399999998</v>
      </c>
      <c r="K187" s="85"/>
      <c r="L187" s="86">
        <f t="shared" si="54"/>
        <v>43646.612399999998</v>
      </c>
      <c r="M187" s="99" t="s">
        <v>454</v>
      </c>
      <c r="N187" s="207"/>
      <c r="O187" s="207"/>
      <c r="P187" s="117"/>
      <c r="Q187" s="207"/>
    </row>
    <row r="188" spans="1:17" ht="14" x14ac:dyDescent="0.3">
      <c r="A188" s="100" t="s">
        <v>681</v>
      </c>
      <c r="B188" s="101" t="s">
        <v>682</v>
      </c>
      <c r="C188" s="87">
        <v>96118.035000000003</v>
      </c>
      <c r="D188" s="293">
        <v>43253.115750000004</v>
      </c>
      <c r="E188" s="294">
        <v>9611.8035</v>
      </c>
      <c r="F188" s="294">
        <v>43253.115750000004</v>
      </c>
      <c r="G188" s="295"/>
      <c r="H188" s="83">
        <f t="shared" si="55"/>
        <v>43253.115750000004</v>
      </c>
      <c r="I188" s="98">
        <f t="shared" si="56"/>
        <v>9611.8035</v>
      </c>
      <c r="J188" s="84">
        <f t="shared" si="57"/>
        <v>43253.115750000004</v>
      </c>
      <c r="K188" s="85"/>
      <c r="L188" s="86">
        <f t="shared" si="54"/>
        <v>43253.115750000004</v>
      </c>
      <c r="M188" s="99" t="s">
        <v>454</v>
      </c>
      <c r="N188" s="207"/>
      <c r="O188" s="207"/>
      <c r="P188" s="117"/>
      <c r="Q188" s="207"/>
    </row>
    <row r="189" spans="1:17" ht="14" x14ac:dyDescent="0.3">
      <c r="A189" s="100" t="s">
        <v>691</v>
      </c>
      <c r="B189" s="101" t="s">
        <v>243</v>
      </c>
      <c r="C189" s="87">
        <v>93926.505000000005</v>
      </c>
      <c r="D189" s="293">
        <v>42266.927250000001</v>
      </c>
      <c r="E189" s="294">
        <v>9392.6505000000016</v>
      </c>
      <c r="F189" s="294">
        <v>42266.927250000001</v>
      </c>
      <c r="G189" s="295"/>
      <c r="H189" s="83">
        <f t="shared" si="55"/>
        <v>42266.927250000001</v>
      </c>
      <c r="I189" s="98">
        <f t="shared" si="56"/>
        <v>9392.6505000000016</v>
      </c>
      <c r="J189" s="84">
        <f t="shared" si="57"/>
        <v>42266.927250000001</v>
      </c>
      <c r="K189" s="85"/>
      <c r="L189" s="86">
        <f t="shared" si="54"/>
        <v>42266.927250000001</v>
      </c>
      <c r="M189" s="99" t="s">
        <v>454</v>
      </c>
      <c r="N189" s="207"/>
      <c r="O189" s="207"/>
      <c r="P189" s="117"/>
      <c r="Q189" s="207"/>
    </row>
    <row r="190" spans="1:17" ht="14" x14ac:dyDescent="0.3">
      <c r="A190" s="100" t="s">
        <v>727</v>
      </c>
      <c r="B190" s="101" t="s">
        <v>728</v>
      </c>
      <c r="C190" s="87">
        <v>90901.428</v>
      </c>
      <c r="D190" s="293">
        <v>40905.642599999999</v>
      </c>
      <c r="E190" s="294">
        <v>9090.1427999999996</v>
      </c>
      <c r="F190" s="294">
        <v>40905.642599999999</v>
      </c>
      <c r="G190" s="295"/>
      <c r="H190" s="83">
        <f t="shared" si="55"/>
        <v>40905.642599999999</v>
      </c>
      <c r="I190" s="98">
        <f t="shared" si="56"/>
        <v>9090.1427999999996</v>
      </c>
      <c r="J190" s="84">
        <f t="shared" si="57"/>
        <v>40905.642599999999</v>
      </c>
      <c r="K190" s="85"/>
      <c r="L190" s="86">
        <f t="shared" si="54"/>
        <v>40905.642599999999</v>
      </c>
      <c r="M190" s="99" t="s">
        <v>454</v>
      </c>
      <c r="N190" s="207"/>
      <c r="O190" s="207"/>
      <c r="P190" s="117"/>
      <c r="Q190" s="207"/>
    </row>
    <row r="191" spans="1:17" ht="14" x14ac:dyDescent="0.3">
      <c r="A191" s="100" t="s">
        <v>839</v>
      </c>
      <c r="B191" s="101" t="s">
        <v>245</v>
      </c>
      <c r="C191" s="87">
        <v>90625.29</v>
      </c>
      <c r="D191" s="293">
        <v>40781.380499999999</v>
      </c>
      <c r="E191" s="294">
        <v>9062.5290000000005</v>
      </c>
      <c r="F191" s="294">
        <v>40781.380499999999</v>
      </c>
      <c r="G191" s="295"/>
      <c r="H191" s="83">
        <f t="shared" si="55"/>
        <v>40781.380499999999</v>
      </c>
      <c r="I191" s="98">
        <f t="shared" si="56"/>
        <v>9062.5290000000005</v>
      </c>
      <c r="J191" s="84">
        <f t="shared" si="57"/>
        <v>40781.380499999999</v>
      </c>
      <c r="K191" s="85"/>
      <c r="L191" s="86">
        <f t="shared" si="54"/>
        <v>40781.380499999999</v>
      </c>
      <c r="M191" s="99" t="s">
        <v>454</v>
      </c>
      <c r="N191" s="207"/>
      <c r="O191" s="207"/>
      <c r="P191" s="117"/>
      <c r="Q191" s="207"/>
    </row>
    <row r="192" spans="1:17" ht="14" x14ac:dyDescent="0.3">
      <c r="A192" s="100" t="s">
        <v>877</v>
      </c>
      <c r="B192" s="101" t="s">
        <v>881</v>
      </c>
      <c r="C192" s="87">
        <v>89374</v>
      </c>
      <c r="D192" s="293">
        <v>34408.99</v>
      </c>
      <c r="E192" s="294">
        <v>8043.66</v>
      </c>
      <c r="F192" s="294">
        <v>46921.35</v>
      </c>
      <c r="G192" s="295" t="s">
        <v>882</v>
      </c>
      <c r="H192" s="83">
        <f>C192*0.385</f>
        <v>34408.99</v>
      </c>
      <c r="I192" s="98">
        <f>C192*0.09</f>
        <v>8043.66</v>
      </c>
      <c r="J192" s="84">
        <f>C192*0.525</f>
        <v>46921.35</v>
      </c>
      <c r="K192" s="85"/>
      <c r="L192" s="86">
        <f t="shared" si="54"/>
        <v>46921.35</v>
      </c>
      <c r="M192" s="99" t="s">
        <v>454</v>
      </c>
      <c r="N192" s="207"/>
      <c r="O192" s="207"/>
      <c r="P192" s="117"/>
      <c r="Q192" s="207"/>
    </row>
    <row r="193" spans="1:17" ht="14" x14ac:dyDescent="0.3">
      <c r="A193" s="100" t="s">
        <v>690</v>
      </c>
      <c r="B193" s="101" t="s">
        <v>270</v>
      </c>
      <c r="C193" s="87">
        <v>88966.460999999996</v>
      </c>
      <c r="D193" s="293">
        <v>40034.907449999999</v>
      </c>
      <c r="E193" s="294">
        <v>8896.6460999999999</v>
      </c>
      <c r="F193" s="294">
        <v>40034.907449999999</v>
      </c>
      <c r="G193" s="295"/>
      <c r="H193" s="83">
        <f t="shared" ref="H193" si="58">C193*0.45</f>
        <v>40034.907449999999</v>
      </c>
      <c r="I193" s="98">
        <f t="shared" ref="I193" si="59">C193*0.1</f>
        <v>8896.6460999999999</v>
      </c>
      <c r="J193" s="84">
        <f t="shared" ref="J193" si="60">C193*0.45</f>
        <v>40034.907449999999</v>
      </c>
      <c r="K193" s="85"/>
      <c r="L193" s="86">
        <f t="shared" si="54"/>
        <v>40034.907449999999</v>
      </c>
      <c r="M193" s="99" t="s">
        <v>454</v>
      </c>
      <c r="N193" s="207"/>
      <c r="O193" s="207"/>
      <c r="P193" s="117"/>
      <c r="Q193" s="207"/>
    </row>
    <row r="194" spans="1:17" ht="15" customHeight="1" x14ac:dyDescent="0.3">
      <c r="A194" s="100" t="s">
        <v>700</v>
      </c>
      <c r="B194" s="118" t="s">
        <v>701</v>
      </c>
      <c r="C194" s="87">
        <v>83813.713499999998</v>
      </c>
      <c r="D194" s="299">
        <v>23886.908347499997</v>
      </c>
      <c r="E194" s="300">
        <v>7543.2342149999995</v>
      </c>
      <c r="F194" s="300">
        <v>52383.570937500001</v>
      </c>
      <c r="G194" s="301" t="s">
        <v>852</v>
      </c>
      <c r="H194" s="83">
        <f>C194*0.285</f>
        <v>23886.908347499997</v>
      </c>
      <c r="I194" s="98">
        <f>C194*0.09</f>
        <v>7543.2342149999995</v>
      </c>
      <c r="J194" s="84">
        <f>C194*0.625</f>
        <v>52383.570937500001</v>
      </c>
      <c r="K194" s="85"/>
      <c r="L194" s="86">
        <f t="shared" si="54"/>
        <v>52383.570937500001</v>
      </c>
      <c r="M194" s="99" t="s">
        <v>454</v>
      </c>
      <c r="N194" s="207"/>
      <c r="O194" s="207"/>
      <c r="P194" s="117"/>
      <c r="Q194" s="207"/>
    </row>
    <row r="195" spans="1:17" ht="14" x14ac:dyDescent="0.3">
      <c r="A195" s="100" t="s">
        <v>678</v>
      </c>
      <c r="B195" s="101" t="s">
        <v>679</v>
      </c>
      <c r="C195" s="87">
        <v>83715.837</v>
      </c>
      <c r="D195" s="293">
        <v>37672.126649999998</v>
      </c>
      <c r="E195" s="294">
        <v>8371.583700000001</v>
      </c>
      <c r="F195" s="294">
        <v>37672.126649999998</v>
      </c>
      <c r="G195" s="295"/>
      <c r="H195" s="83">
        <f t="shared" ref="H195:H211" si="61">C195*0.45</f>
        <v>37672.126649999998</v>
      </c>
      <c r="I195" s="98">
        <f t="shared" ref="I195:I211" si="62">C195*0.1</f>
        <v>8371.583700000001</v>
      </c>
      <c r="J195" s="84">
        <f t="shared" ref="J195:J211" si="63">C195*0.45</f>
        <v>37672.126649999998</v>
      </c>
      <c r="K195" s="85"/>
      <c r="L195" s="86">
        <f t="shared" si="54"/>
        <v>37672.126649999998</v>
      </c>
      <c r="M195" s="99" t="s">
        <v>454</v>
      </c>
      <c r="N195" s="207"/>
      <c r="O195" s="207"/>
      <c r="P195" s="117"/>
      <c r="Q195" s="207"/>
    </row>
    <row r="196" spans="1:17" ht="14" x14ac:dyDescent="0.3">
      <c r="A196" s="100" t="s">
        <v>760</v>
      </c>
      <c r="B196" s="101" t="s">
        <v>334</v>
      </c>
      <c r="C196" s="87">
        <v>83295.626999999993</v>
      </c>
      <c r="D196" s="293">
        <v>37483.032149999999</v>
      </c>
      <c r="E196" s="294">
        <v>8329.5627000000004</v>
      </c>
      <c r="F196" s="294">
        <v>37483.032149999999</v>
      </c>
      <c r="G196" s="295"/>
      <c r="H196" s="83">
        <f t="shared" si="61"/>
        <v>37483.032149999999</v>
      </c>
      <c r="I196" s="98">
        <f t="shared" si="62"/>
        <v>8329.5627000000004</v>
      </c>
      <c r="J196" s="84">
        <f t="shared" si="63"/>
        <v>37483.032149999999</v>
      </c>
      <c r="K196" s="85"/>
      <c r="L196" s="86">
        <f t="shared" si="54"/>
        <v>37483.032149999999</v>
      </c>
      <c r="M196" s="99" t="s">
        <v>454</v>
      </c>
      <c r="N196" s="207"/>
      <c r="O196" s="207"/>
      <c r="P196" s="117"/>
      <c r="Q196" s="207"/>
    </row>
    <row r="197" spans="1:17" ht="13" customHeight="1" x14ac:dyDescent="0.3">
      <c r="A197" s="100" t="s">
        <v>741</v>
      </c>
      <c r="B197" s="118" t="s">
        <v>742</v>
      </c>
      <c r="C197" s="87">
        <v>82451.205000000002</v>
      </c>
      <c r="D197" s="299">
        <v>37103.042249999999</v>
      </c>
      <c r="E197" s="300">
        <v>8245.1205000000009</v>
      </c>
      <c r="F197" s="300">
        <v>37103.042249999999</v>
      </c>
      <c r="G197" s="301"/>
      <c r="H197" s="83">
        <f t="shared" si="61"/>
        <v>37103.042249999999</v>
      </c>
      <c r="I197" s="98">
        <f t="shared" si="62"/>
        <v>8245.1205000000009</v>
      </c>
      <c r="J197" s="84">
        <f t="shared" si="63"/>
        <v>37103.042249999999</v>
      </c>
      <c r="K197" s="85"/>
      <c r="L197" s="86">
        <f t="shared" si="54"/>
        <v>37103.042249999999</v>
      </c>
      <c r="M197" s="99" t="s">
        <v>454</v>
      </c>
      <c r="N197" s="207"/>
      <c r="O197" s="207"/>
      <c r="P197" s="117"/>
      <c r="Q197" s="207"/>
    </row>
    <row r="198" spans="1:17" ht="14" x14ac:dyDescent="0.3">
      <c r="A198" s="100" t="s">
        <v>629</v>
      </c>
      <c r="B198" s="101" t="s">
        <v>212</v>
      </c>
      <c r="C198" s="87">
        <v>82245.101999999999</v>
      </c>
      <c r="D198" s="293">
        <v>37010.295899999997</v>
      </c>
      <c r="E198" s="294">
        <v>8224.5102000000006</v>
      </c>
      <c r="F198" s="294">
        <v>37010.295899999997</v>
      </c>
      <c r="G198" s="295"/>
      <c r="H198" s="83">
        <f t="shared" si="61"/>
        <v>37010.295899999997</v>
      </c>
      <c r="I198" s="98">
        <f t="shared" si="62"/>
        <v>8224.5102000000006</v>
      </c>
      <c r="J198" s="84">
        <f t="shared" si="63"/>
        <v>37010.295899999997</v>
      </c>
      <c r="K198" s="85"/>
      <c r="L198" s="86">
        <f t="shared" si="54"/>
        <v>37010.295899999997</v>
      </c>
      <c r="M198" s="99" t="s">
        <v>454</v>
      </c>
      <c r="N198" s="207"/>
      <c r="O198" s="207"/>
      <c r="P198" s="117"/>
      <c r="Q198" s="207"/>
    </row>
    <row r="199" spans="1:17" ht="14" x14ac:dyDescent="0.3">
      <c r="A199" s="100" t="s">
        <v>695</v>
      </c>
      <c r="B199" s="101" t="s">
        <v>696</v>
      </c>
      <c r="C199" s="87">
        <v>81698.828999999998</v>
      </c>
      <c r="D199" s="293">
        <v>36764.473050000001</v>
      </c>
      <c r="E199" s="294">
        <v>8169.8829000000005</v>
      </c>
      <c r="F199" s="294">
        <v>36764.473050000001</v>
      </c>
      <c r="G199" s="295"/>
      <c r="H199" s="83">
        <f t="shared" si="61"/>
        <v>36764.473050000001</v>
      </c>
      <c r="I199" s="98">
        <f t="shared" si="62"/>
        <v>8169.8829000000005</v>
      </c>
      <c r="J199" s="84">
        <f t="shared" si="63"/>
        <v>36764.473050000001</v>
      </c>
      <c r="K199" s="85"/>
      <c r="L199" s="86">
        <f t="shared" si="54"/>
        <v>36764.473050000001</v>
      </c>
      <c r="M199" s="99" t="s">
        <v>454</v>
      </c>
      <c r="N199" s="207"/>
      <c r="O199" s="207"/>
      <c r="P199" s="117"/>
      <c r="Q199" s="207"/>
    </row>
    <row r="200" spans="1:17" s="105" customFormat="1" ht="17" customHeight="1" x14ac:dyDescent="0.3">
      <c r="A200" s="100" t="s">
        <v>692</v>
      </c>
      <c r="B200" s="118" t="s">
        <v>239</v>
      </c>
      <c r="C200" s="87">
        <v>80842.400999999998</v>
      </c>
      <c r="D200" s="299">
        <v>36379.080450000001</v>
      </c>
      <c r="E200" s="300">
        <v>8084.2401</v>
      </c>
      <c r="F200" s="300">
        <v>36379.080450000001</v>
      </c>
      <c r="G200" s="301"/>
      <c r="H200" s="83">
        <f t="shared" si="61"/>
        <v>36379.080450000001</v>
      </c>
      <c r="I200" s="98">
        <f t="shared" si="62"/>
        <v>8084.2401</v>
      </c>
      <c r="J200" s="84">
        <f t="shared" si="63"/>
        <v>36379.080450000001</v>
      </c>
      <c r="K200" s="85"/>
      <c r="L200" s="86">
        <f t="shared" si="54"/>
        <v>36379.080450000001</v>
      </c>
      <c r="M200" s="99" t="s">
        <v>454</v>
      </c>
      <c r="N200" s="207"/>
      <c r="O200" s="207"/>
      <c r="P200" s="117"/>
      <c r="Q200" s="207"/>
    </row>
    <row r="201" spans="1:17" ht="14" x14ac:dyDescent="0.3">
      <c r="A201" s="100" t="s">
        <v>693</v>
      </c>
      <c r="B201" s="101" t="s">
        <v>265</v>
      </c>
      <c r="C201" s="87">
        <v>80360.160000000003</v>
      </c>
      <c r="D201" s="293">
        <v>36162.072</v>
      </c>
      <c r="E201" s="294">
        <v>8036.0160000000005</v>
      </c>
      <c r="F201" s="294">
        <v>36162.072</v>
      </c>
      <c r="G201" s="295"/>
      <c r="H201" s="83">
        <f t="shared" si="61"/>
        <v>36162.072</v>
      </c>
      <c r="I201" s="98">
        <f t="shared" si="62"/>
        <v>8036.0160000000005</v>
      </c>
      <c r="J201" s="84">
        <f t="shared" si="63"/>
        <v>36162.072</v>
      </c>
      <c r="K201" s="85"/>
      <c r="L201" s="86">
        <f t="shared" si="54"/>
        <v>36162.072</v>
      </c>
      <c r="M201" s="99" t="s">
        <v>454</v>
      </c>
      <c r="N201" s="207"/>
      <c r="O201" s="207"/>
      <c r="P201" s="117"/>
      <c r="Q201" s="207"/>
    </row>
    <row r="202" spans="1:17" ht="14" x14ac:dyDescent="0.3">
      <c r="A202" s="100" t="s">
        <v>604</v>
      </c>
      <c r="B202" s="101" t="s">
        <v>204</v>
      </c>
      <c r="C202" s="87">
        <v>80332.145999999993</v>
      </c>
      <c r="D202" s="293">
        <v>36149.465700000001</v>
      </c>
      <c r="E202" s="294">
        <v>8033.2145999999993</v>
      </c>
      <c r="F202" s="294">
        <v>36149.465700000001</v>
      </c>
      <c r="G202" s="295"/>
      <c r="H202" s="83">
        <f t="shared" si="61"/>
        <v>36149.465700000001</v>
      </c>
      <c r="I202" s="98">
        <f t="shared" si="62"/>
        <v>8033.2145999999993</v>
      </c>
      <c r="J202" s="84">
        <f t="shared" si="63"/>
        <v>36149.465700000001</v>
      </c>
      <c r="K202" s="85"/>
      <c r="L202" s="86">
        <f t="shared" si="54"/>
        <v>36149.465700000001</v>
      </c>
      <c r="M202" s="99" t="s">
        <v>454</v>
      </c>
      <c r="N202" s="207"/>
      <c r="O202" s="207"/>
      <c r="P202" s="117"/>
      <c r="Q202" s="207"/>
    </row>
    <row r="203" spans="1:17" ht="14" x14ac:dyDescent="0.3">
      <c r="A203" s="100" t="s">
        <v>694</v>
      </c>
      <c r="B203" s="101" t="s">
        <v>267</v>
      </c>
      <c r="C203" s="87">
        <v>77434.698000000004</v>
      </c>
      <c r="D203" s="293">
        <v>34845.614100000006</v>
      </c>
      <c r="E203" s="294">
        <v>7743.4698000000008</v>
      </c>
      <c r="F203" s="294">
        <v>34845.614100000006</v>
      </c>
      <c r="G203" s="295"/>
      <c r="H203" s="83">
        <f t="shared" si="61"/>
        <v>34845.614100000006</v>
      </c>
      <c r="I203" s="98">
        <f t="shared" si="62"/>
        <v>7743.4698000000008</v>
      </c>
      <c r="J203" s="84">
        <f t="shared" si="63"/>
        <v>34845.614100000006</v>
      </c>
      <c r="K203" s="85"/>
      <c r="L203" s="86">
        <f t="shared" si="54"/>
        <v>34845.614100000006</v>
      </c>
      <c r="M203" s="99" t="s">
        <v>454</v>
      </c>
      <c r="N203" s="207"/>
      <c r="O203" s="207"/>
      <c r="P203" s="117"/>
      <c r="Q203" s="207"/>
    </row>
    <row r="204" spans="1:17" ht="14" x14ac:dyDescent="0.3">
      <c r="A204" s="100" t="s">
        <v>703</v>
      </c>
      <c r="B204" s="101" t="s">
        <v>273</v>
      </c>
      <c r="C204" s="87">
        <v>77388.675000000003</v>
      </c>
      <c r="D204" s="293">
        <v>34824.903750000005</v>
      </c>
      <c r="E204" s="294">
        <v>7738.8675000000003</v>
      </c>
      <c r="F204" s="294">
        <v>34824.903750000005</v>
      </c>
      <c r="G204" s="295"/>
      <c r="H204" s="83">
        <f t="shared" si="61"/>
        <v>34824.903750000005</v>
      </c>
      <c r="I204" s="98">
        <f t="shared" si="62"/>
        <v>7738.8675000000003</v>
      </c>
      <c r="J204" s="84">
        <f t="shared" si="63"/>
        <v>34824.903750000005</v>
      </c>
      <c r="K204" s="85"/>
      <c r="L204" s="86">
        <f t="shared" si="54"/>
        <v>34824.903750000005</v>
      </c>
      <c r="M204" s="99" t="s">
        <v>454</v>
      </c>
      <c r="N204" s="207"/>
      <c r="O204" s="207"/>
      <c r="P204" s="117"/>
      <c r="Q204" s="207"/>
    </row>
    <row r="205" spans="1:17" ht="14" x14ac:dyDescent="0.3">
      <c r="A205" s="100" t="s">
        <v>697</v>
      </c>
      <c r="B205" s="101" t="s">
        <v>240</v>
      </c>
      <c r="C205" s="87">
        <v>76946.453999999998</v>
      </c>
      <c r="D205" s="293">
        <v>34625.904300000002</v>
      </c>
      <c r="E205" s="294">
        <v>7694.6454000000003</v>
      </c>
      <c r="F205" s="294">
        <v>34625.904300000002</v>
      </c>
      <c r="G205" s="295"/>
      <c r="H205" s="83">
        <f t="shared" si="61"/>
        <v>34625.904300000002</v>
      </c>
      <c r="I205" s="98">
        <f t="shared" si="62"/>
        <v>7694.6454000000003</v>
      </c>
      <c r="J205" s="84">
        <f t="shared" si="63"/>
        <v>34625.904300000002</v>
      </c>
      <c r="K205" s="85"/>
      <c r="L205" s="86">
        <f t="shared" si="54"/>
        <v>34625.904300000002</v>
      </c>
      <c r="M205" s="99" t="s">
        <v>454</v>
      </c>
      <c r="N205" s="207"/>
      <c r="O205" s="207"/>
      <c r="P205" s="117"/>
      <c r="Q205" s="207"/>
    </row>
    <row r="206" spans="1:17" ht="14" x14ac:dyDescent="0.3">
      <c r="A206" s="100" t="s">
        <v>722</v>
      </c>
      <c r="B206" s="101" t="s">
        <v>723</v>
      </c>
      <c r="C206" s="87">
        <v>72192.077999999994</v>
      </c>
      <c r="D206" s="293">
        <v>32486.435099999999</v>
      </c>
      <c r="E206" s="294">
        <v>7219.2078000000001</v>
      </c>
      <c r="F206" s="294">
        <v>32486.435099999999</v>
      </c>
      <c r="G206" s="295"/>
      <c r="H206" s="83">
        <f t="shared" si="61"/>
        <v>32486.435099999999</v>
      </c>
      <c r="I206" s="98">
        <f t="shared" si="62"/>
        <v>7219.2078000000001</v>
      </c>
      <c r="J206" s="84">
        <f t="shared" si="63"/>
        <v>32486.435099999999</v>
      </c>
      <c r="K206" s="85"/>
      <c r="L206" s="86">
        <f t="shared" si="54"/>
        <v>32486.435099999999</v>
      </c>
      <c r="M206" s="99" t="s">
        <v>454</v>
      </c>
      <c r="N206" s="207"/>
      <c r="O206" s="207"/>
      <c r="P206" s="117"/>
      <c r="Q206" s="207"/>
    </row>
    <row r="207" spans="1:17" ht="14" x14ac:dyDescent="0.3">
      <c r="A207" s="100" t="s">
        <v>686</v>
      </c>
      <c r="B207" s="118" t="s">
        <v>687</v>
      </c>
      <c r="C207" s="87">
        <v>69004.485000000001</v>
      </c>
      <c r="D207" s="299">
        <v>31052.018250000001</v>
      </c>
      <c r="E207" s="300">
        <v>6900.4485000000004</v>
      </c>
      <c r="F207" s="300">
        <v>31052.018250000001</v>
      </c>
      <c r="G207" s="301"/>
      <c r="H207" s="83">
        <f t="shared" si="61"/>
        <v>31052.018250000001</v>
      </c>
      <c r="I207" s="98">
        <f t="shared" si="62"/>
        <v>6900.4485000000004</v>
      </c>
      <c r="J207" s="84">
        <f t="shared" si="63"/>
        <v>31052.018250000001</v>
      </c>
      <c r="K207" s="85"/>
      <c r="L207" s="86">
        <f t="shared" si="54"/>
        <v>31052.018250000001</v>
      </c>
      <c r="M207" s="99" t="s">
        <v>454</v>
      </c>
      <c r="N207" s="207"/>
      <c r="O207" s="207"/>
      <c r="P207" s="117"/>
      <c r="Q207" s="207"/>
    </row>
    <row r="208" spans="1:17" ht="14" x14ac:dyDescent="0.3">
      <c r="A208" s="100" t="s">
        <v>699</v>
      </c>
      <c r="B208" s="101" t="s">
        <v>266</v>
      </c>
      <c r="C208" s="87">
        <v>68224.095000000001</v>
      </c>
      <c r="D208" s="293">
        <v>30700.84275</v>
      </c>
      <c r="E208" s="294">
        <v>6822.4095000000007</v>
      </c>
      <c r="F208" s="294">
        <v>30700.84275</v>
      </c>
      <c r="G208" s="295"/>
      <c r="H208" s="83">
        <f t="shared" si="61"/>
        <v>30700.84275</v>
      </c>
      <c r="I208" s="98">
        <f t="shared" si="62"/>
        <v>6822.4095000000007</v>
      </c>
      <c r="J208" s="84">
        <f t="shared" si="63"/>
        <v>30700.84275</v>
      </c>
      <c r="K208" s="85"/>
      <c r="L208" s="86">
        <f t="shared" si="54"/>
        <v>30700.84275</v>
      </c>
      <c r="M208" s="99" t="s">
        <v>454</v>
      </c>
      <c r="N208" s="207"/>
      <c r="O208" s="207"/>
      <c r="P208" s="117"/>
      <c r="Q208" s="207"/>
    </row>
    <row r="209" spans="1:17" ht="14" x14ac:dyDescent="0.3">
      <c r="A209" s="100" t="s">
        <v>706</v>
      </c>
      <c r="B209" s="101" t="s">
        <v>269</v>
      </c>
      <c r="C209" s="87">
        <v>66379.172999999995</v>
      </c>
      <c r="D209" s="293">
        <v>29870.627849999997</v>
      </c>
      <c r="E209" s="294">
        <v>6637.9173000000001</v>
      </c>
      <c r="F209" s="294">
        <v>29870.627849999997</v>
      </c>
      <c r="G209" s="295"/>
      <c r="H209" s="83">
        <f t="shared" si="61"/>
        <v>29870.627849999997</v>
      </c>
      <c r="I209" s="98">
        <f t="shared" si="62"/>
        <v>6637.9173000000001</v>
      </c>
      <c r="J209" s="84">
        <f t="shared" si="63"/>
        <v>29870.627849999997</v>
      </c>
      <c r="K209" s="85"/>
      <c r="L209" s="86">
        <f t="shared" si="54"/>
        <v>29870.627849999997</v>
      </c>
      <c r="M209" s="99" t="s">
        <v>454</v>
      </c>
      <c r="N209" s="207"/>
      <c r="O209" s="207"/>
      <c r="P209" s="117"/>
      <c r="Q209" s="207"/>
    </row>
    <row r="210" spans="1:17" ht="14" x14ac:dyDescent="0.3">
      <c r="A210" s="100" t="s">
        <v>683</v>
      </c>
      <c r="B210" s="101" t="s">
        <v>684</v>
      </c>
      <c r="C210" s="87">
        <v>65868.918000000005</v>
      </c>
      <c r="D210" s="293">
        <v>29641.013100000004</v>
      </c>
      <c r="E210" s="294">
        <v>6586.8918000000012</v>
      </c>
      <c r="F210" s="294">
        <v>29641.013100000004</v>
      </c>
      <c r="G210" s="295"/>
      <c r="H210" s="83">
        <f t="shared" si="61"/>
        <v>29641.013100000004</v>
      </c>
      <c r="I210" s="98">
        <f t="shared" si="62"/>
        <v>6586.8918000000012</v>
      </c>
      <c r="J210" s="84">
        <f t="shared" si="63"/>
        <v>29641.013100000004</v>
      </c>
      <c r="K210" s="85"/>
      <c r="L210" s="86">
        <f t="shared" si="54"/>
        <v>29641.013100000004</v>
      </c>
      <c r="M210" s="99" t="s">
        <v>454</v>
      </c>
      <c r="N210" s="207"/>
      <c r="O210" s="207"/>
      <c r="P210" s="117"/>
      <c r="Q210" s="207"/>
    </row>
    <row r="211" spans="1:17" ht="14" x14ac:dyDescent="0.3">
      <c r="A211" s="100" t="s">
        <v>840</v>
      </c>
      <c r="B211" s="101" t="s">
        <v>252</v>
      </c>
      <c r="C211" s="87">
        <v>59381.675999999999</v>
      </c>
      <c r="D211" s="293">
        <v>26721.754199999999</v>
      </c>
      <c r="E211" s="294">
        <v>5938.1676000000007</v>
      </c>
      <c r="F211" s="294">
        <v>26721.754199999999</v>
      </c>
      <c r="G211" s="295"/>
      <c r="H211" s="83">
        <f t="shared" si="61"/>
        <v>26721.754199999999</v>
      </c>
      <c r="I211" s="98">
        <f t="shared" si="62"/>
        <v>5938.1676000000007</v>
      </c>
      <c r="J211" s="84">
        <f t="shared" si="63"/>
        <v>26721.754199999999</v>
      </c>
      <c r="K211" s="85"/>
      <c r="L211" s="86">
        <f t="shared" si="54"/>
        <v>26721.754199999999</v>
      </c>
      <c r="M211" s="99" t="s">
        <v>454</v>
      </c>
      <c r="N211" s="207"/>
      <c r="O211" s="207"/>
      <c r="P211" s="117"/>
      <c r="Q211" s="207"/>
    </row>
    <row r="212" spans="1:17" ht="14" x14ac:dyDescent="0.3">
      <c r="A212" s="100" t="s">
        <v>711</v>
      </c>
      <c r="B212" s="101" t="s">
        <v>712</v>
      </c>
      <c r="C212" s="87">
        <v>58366.1685</v>
      </c>
      <c r="D212" s="293">
        <v>0</v>
      </c>
      <c r="E212" s="294">
        <v>0</v>
      </c>
      <c r="F212" s="294">
        <v>58366.1685</v>
      </c>
      <c r="G212" s="295" t="s">
        <v>14</v>
      </c>
      <c r="H212" s="83">
        <f>C212*0</f>
        <v>0</v>
      </c>
      <c r="I212" s="98">
        <f>C212*0</f>
        <v>0</v>
      </c>
      <c r="J212" s="84">
        <f>C212*1</f>
        <v>58366.1685</v>
      </c>
      <c r="K212" s="85"/>
      <c r="L212" s="86">
        <f t="shared" si="54"/>
        <v>58366.1685</v>
      </c>
      <c r="M212" s="99" t="s">
        <v>454</v>
      </c>
      <c r="N212" s="207"/>
      <c r="O212" s="207"/>
      <c r="P212" s="117"/>
      <c r="Q212" s="207"/>
    </row>
    <row r="213" spans="1:17" ht="14" x14ac:dyDescent="0.3">
      <c r="A213" s="100" t="s">
        <v>710</v>
      </c>
      <c r="B213" s="101" t="s">
        <v>261</v>
      </c>
      <c r="C213" s="87">
        <v>57828.9</v>
      </c>
      <c r="D213" s="293">
        <v>26023.005000000001</v>
      </c>
      <c r="E213" s="294">
        <v>5782.89</v>
      </c>
      <c r="F213" s="294">
        <v>26023.005000000001</v>
      </c>
      <c r="G213" s="295"/>
      <c r="H213" s="83">
        <f t="shared" ref="H213" si="64">C213*0.45</f>
        <v>26023.005000000001</v>
      </c>
      <c r="I213" s="98">
        <f t="shared" ref="I213" si="65">C213*0.1</f>
        <v>5782.89</v>
      </c>
      <c r="J213" s="84">
        <f t="shared" ref="J213" si="66">C213*0.45</f>
        <v>26023.005000000001</v>
      </c>
      <c r="K213" s="85"/>
      <c r="L213" s="86">
        <f t="shared" si="54"/>
        <v>26023.005000000001</v>
      </c>
      <c r="M213" s="99" t="s">
        <v>454</v>
      </c>
      <c r="N213" s="207"/>
      <c r="O213" s="207"/>
      <c r="P213" s="117"/>
      <c r="Q213" s="207"/>
    </row>
    <row r="214" spans="1:17" s="105" customFormat="1" ht="13.5" customHeight="1" x14ac:dyDescent="0.3">
      <c r="A214" s="100" t="s">
        <v>740</v>
      </c>
      <c r="B214" s="118" t="s">
        <v>480</v>
      </c>
      <c r="C214" s="87">
        <v>57615.678500000002</v>
      </c>
      <c r="D214" s="299">
        <v>17860.860335000001</v>
      </c>
      <c r="E214" s="300">
        <v>5185.4110650000002</v>
      </c>
      <c r="F214" s="300">
        <v>34569.407099999997</v>
      </c>
      <c r="G214" s="301" t="s">
        <v>855</v>
      </c>
      <c r="H214" s="83">
        <f>C214*0.31</f>
        <v>17860.860335000001</v>
      </c>
      <c r="I214" s="98">
        <f>C214*0.09</f>
        <v>5185.4110650000002</v>
      </c>
      <c r="J214" s="84">
        <f>C214*0.6</f>
        <v>34569.407099999997</v>
      </c>
      <c r="K214" s="85"/>
      <c r="L214" s="86">
        <f t="shared" si="54"/>
        <v>34569.407099999997</v>
      </c>
      <c r="M214" s="99" t="s">
        <v>454</v>
      </c>
      <c r="N214" s="207"/>
      <c r="O214" s="207"/>
      <c r="P214" s="117"/>
      <c r="Q214" s="207"/>
    </row>
    <row r="215" spans="1:17" ht="14" x14ac:dyDescent="0.3">
      <c r="A215" s="100" t="s">
        <v>716</v>
      </c>
      <c r="B215" s="101" t="s">
        <v>717</v>
      </c>
      <c r="C215" s="87">
        <v>52934.453999999998</v>
      </c>
      <c r="D215" s="293">
        <v>23820.504300000001</v>
      </c>
      <c r="E215" s="294">
        <v>5293.4454000000005</v>
      </c>
      <c r="F215" s="294">
        <v>23820.504300000001</v>
      </c>
      <c r="G215" s="295"/>
      <c r="H215" s="83">
        <f t="shared" ref="H215" si="67">C215*0.45</f>
        <v>23820.504300000001</v>
      </c>
      <c r="I215" s="98">
        <f t="shared" ref="I215" si="68">C215*0.1</f>
        <v>5293.4454000000005</v>
      </c>
      <c r="J215" s="84">
        <f t="shared" ref="J215" si="69">C215*0.45</f>
        <v>23820.504300000001</v>
      </c>
      <c r="K215" s="85"/>
      <c r="L215" s="86">
        <f t="shared" si="54"/>
        <v>23820.504300000001</v>
      </c>
      <c r="M215" s="99" t="s">
        <v>454</v>
      </c>
      <c r="N215" s="207"/>
      <c r="O215" s="207"/>
      <c r="P215" s="117"/>
      <c r="Q215" s="207"/>
    </row>
    <row r="216" spans="1:17" ht="14" x14ac:dyDescent="0.3">
      <c r="A216" s="100" t="s">
        <v>673</v>
      </c>
      <c r="B216" s="101" t="s">
        <v>479</v>
      </c>
      <c r="C216" s="87">
        <v>51977.976000000002</v>
      </c>
      <c r="D216" s="293">
        <v>10915.374959999999</v>
      </c>
      <c r="E216" s="294">
        <v>4678.0178400000004</v>
      </c>
      <c r="F216" s="294">
        <v>36384.583200000001</v>
      </c>
      <c r="G216" s="295" t="s">
        <v>854</v>
      </c>
      <c r="H216" s="83">
        <f>C216*0.21</f>
        <v>10915.374959999999</v>
      </c>
      <c r="I216" s="98">
        <f>C216*0.09</f>
        <v>4678.0178400000004</v>
      </c>
      <c r="J216" s="84">
        <f>C216*0.7</f>
        <v>36384.583200000001</v>
      </c>
      <c r="K216" s="85"/>
      <c r="L216" s="86">
        <f t="shared" si="54"/>
        <v>36384.583200000001</v>
      </c>
      <c r="M216" s="99" t="s">
        <v>454</v>
      </c>
      <c r="N216" s="207"/>
      <c r="O216" s="207"/>
      <c r="P216" s="117"/>
      <c r="Q216" s="207"/>
    </row>
    <row r="217" spans="1:17" ht="14" x14ac:dyDescent="0.3">
      <c r="A217" s="100" t="s">
        <v>707</v>
      </c>
      <c r="B217" s="101" t="s">
        <v>246</v>
      </c>
      <c r="C217" s="87">
        <v>50244.109499999999</v>
      </c>
      <c r="D217" s="293">
        <v>22609.849275</v>
      </c>
      <c r="E217" s="294">
        <v>5024.4109500000004</v>
      </c>
      <c r="F217" s="294">
        <v>22609.849275</v>
      </c>
      <c r="G217" s="295"/>
      <c r="H217" s="83">
        <f t="shared" ref="H217:H218" si="70">C217*0.45</f>
        <v>22609.849275</v>
      </c>
      <c r="I217" s="98">
        <f t="shared" ref="I217:I218" si="71">C217*0.1</f>
        <v>5024.4109500000004</v>
      </c>
      <c r="J217" s="84">
        <f t="shared" ref="J217:J218" si="72">C217*0.45</f>
        <v>22609.849275</v>
      </c>
      <c r="K217" s="85"/>
      <c r="L217" s="86">
        <f t="shared" si="54"/>
        <v>22609.849275</v>
      </c>
      <c r="M217" s="99" t="s">
        <v>454</v>
      </c>
      <c r="N217" s="207"/>
      <c r="O217" s="207"/>
      <c r="P217" s="117"/>
      <c r="Q217" s="207"/>
    </row>
    <row r="218" spans="1:17" ht="14" x14ac:dyDescent="0.3">
      <c r="A218" s="100" t="s">
        <v>713</v>
      </c>
      <c r="B218" s="118" t="s">
        <v>305</v>
      </c>
      <c r="C218" s="87">
        <v>50069.021999999997</v>
      </c>
      <c r="D218" s="299">
        <v>22531.0599</v>
      </c>
      <c r="E218" s="300">
        <v>5006.9022000000004</v>
      </c>
      <c r="F218" s="300">
        <v>22531.0599</v>
      </c>
      <c r="G218" s="301"/>
      <c r="H218" s="83">
        <f t="shared" si="70"/>
        <v>22531.0599</v>
      </c>
      <c r="I218" s="98">
        <f t="shared" si="71"/>
        <v>5006.9022000000004</v>
      </c>
      <c r="J218" s="84">
        <f t="shared" si="72"/>
        <v>22531.0599</v>
      </c>
      <c r="K218" s="85"/>
      <c r="L218" s="86">
        <f t="shared" si="54"/>
        <v>22531.0599</v>
      </c>
      <c r="M218" s="99" t="s">
        <v>454</v>
      </c>
      <c r="N218" s="207"/>
      <c r="O218" s="207"/>
      <c r="P218" s="117"/>
      <c r="Q218" s="207"/>
    </row>
    <row r="219" spans="1:17" ht="14" x14ac:dyDescent="0.3">
      <c r="A219" s="100" t="s">
        <v>704</v>
      </c>
      <c r="B219" s="101" t="s">
        <v>902</v>
      </c>
      <c r="C219" s="87">
        <v>48627.301500000001</v>
      </c>
      <c r="D219" s="293">
        <v>15074.463465000001</v>
      </c>
      <c r="E219" s="294">
        <v>4376.4571349999997</v>
      </c>
      <c r="F219" s="294">
        <v>29176.3809</v>
      </c>
      <c r="G219" s="295" t="s">
        <v>855</v>
      </c>
      <c r="H219" s="83">
        <f>C219*0.31</f>
        <v>15074.463465000001</v>
      </c>
      <c r="I219" s="98">
        <f>C219*0.09</f>
        <v>4376.4571349999997</v>
      </c>
      <c r="J219" s="84">
        <f>C219*0.6</f>
        <v>29176.3809</v>
      </c>
      <c r="K219" s="85"/>
      <c r="L219" s="86">
        <f t="shared" si="54"/>
        <v>29176.3809</v>
      </c>
      <c r="M219" s="99" t="s">
        <v>454</v>
      </c>
      <c r="N219" s="207"/>
      <c r="O219" s="207"/>
      <c r="P219" s="117"/>
      <c r="Q219" s="207"/>
    </row>
    <row r="220" spans="1:17" ht="14" x14ac:dyDescent="0.3">
      <c r="A220" s="100" t="s">
        <v>714</v>
      </c>
      <c r="B220" s="101" t="s">
        <v>256</v>
      </c>
      <c r="C220" s="87">
        <v>47311.817999999999</v>
      </c>
      <c r="D220" s="293">
        <v>21290.3181</v>
      </c>
      <c r="E220" s="294">
        <v>4731.1818000000003</v>
      </c>
      <c r="F220" s="294">
        <v>21290.3181</v>
      </c>
      <c r="G220" s="295"/>
      <c r="H220" s="83">
        <f t="shared" ref="H220" si="73">C220*0.45</f>
        <v>21290.3181</v>
      </c>
      <c r="I220" s="98">
        <f t="shared" ref="I220" si="74">C220*0.1</f>
        <v>4731.1818000000003</v>
      </c>
      <c r="J220" s="84">
        <f t="shared" ref="J220" si="75">C220*0.45</f>
        <v>21290.3181</v>
      </c>
      <c r="K220" s="85"/>
      <c r="L220" s="86">
        <f t="shared" si="54"/>
        <v>21290.3181</v>
      </c>
      <c r="M220" s="99" t="s">
        <v>454</v>
      </c>
      <c r="N220" s="207"/>
      <c r="O220" s="207"/>
      <c r="P220" s="117"/>
      <c r="Q220" s="207"/>
    </row>
    <row r="221" spans="1:17" s="105" customFormat="1" ht="20" customHeight="1" x14ac:dyDescent="0.3">
      <c r="A221" s="100" t="s">
        <v>708</v>
      </c>
      <c r="B221" s="118" t="s">
        <v>709</v>
      </c>
      <c r="C221" s="87">
        <v>47298.925000000003</v>
      </c>
      <c r="D221" s="299">
        <v>13480.193625</v>
      </c>
      <c r="E221" s="300">
        <v>4256.9032500000003</v>
      </c>
      <c r="F221" s="300">
        <v>29561.828125</v>
      </c>
      <c r="G221" s="301" t="s">
        <v>852</v>
      </c>
      <c r="H221" s="83">
        <f>C221*0.285</f>
        <v>13480.193625</v>
      </c>
      <c r="I221" s="98">
        <f>C221*0.09</f>
        <v>4256.9032500000003</v>
      </c>
      <c r="J221" s="84">
        <f>C221*0.625</f>
        <v>29561.828125</v>
      </c>
      <c r="K221" s="85"/>
      <c r="L221" s="86">
        <f t="shared" si="54"/>
        <v>29561.828125</v>
      </c>
      <c r="M221" s="99" t="s">
        <v>454</v>
      </c>
      <c r="N221" s="207"/>
      <c r="O221" s="207"/>
      <c r="P221" s="117"/>
      <c r="Q221" s="207"/>
    </row>
    <row r="222" spans="1:17" ht="14" x14ac:dyDescent="0.3">
      <c r="A222" s="100" t="s">
        <v>718</v>
      </c>
      <c r="B222" s="101" t="s">
        <v>257</v>
      </c>
      <c r="C222" s="87">
        <v>46677.326999999997</v>
      </c>
      <c r="D222" s="293">
        <v>21004.797149999999</v>
      </c>
      <c r="E222" s="294">
        <v>4667.7326999999996</v>
      </c>
      <c r="F222" s="294">
        <v>21004.797149999999</v>
      </c>
      <c r="G222" s="295"/>
      <c r="H222" s="83">
        <f t="shared" ref="H222:H223" si="76">C222*0.45</f>
        <v>21004.797149999999</v>
      </c>
      <c r="I222" s="98">
        <f t="shared" ref="I222:I223" si="77">C222*0.1</f>
        <v>4667.7326999999996</v>
      </c>
      <c r="J222" s="84">
        <f t="shared" ref="J222:J223" si="78">C222*0.45</f>
        <v>21004.797149999999</v>
      </c>
      <c r="K222" s="85"/>
      <c r="L222" s="86">
        <f t="shared" si="54"/>
        <v>21004.797149999999</v>
      </c>
      <c r="M222" s="99" t="s">
        <v>454</v>
      </c>
      <c r="N222" s="207"/>
      <c r="O222" s="207"/>
      <c r="P222" s="117"/>
      <c r="Q222" s="207"/>
    </row>
    <row r="223" spans="1:17" ht="14.5" customHeight="1" x14ac:dyDescent="0.3">
      <c r="A223" s="100" t="s">
        <v>702</v>
      </c>
      <c r="B223" s="118" t="s">
        <v>291</v>
      </c>
      <c r="C223" s="87">
        <v>44906.442000000003</v>
      </c>
      <c r="D223" s="299">
        <v>20207.8989</v>
      </c>
      <c r="E223" s="300">
        <v>4490.6442000000006</v>
      </c>
      <c r="F223" s="300">
        <v>20207.8989</v>
      </c>
      <c r="G223" s="301"/>
      <c r="H223" s="83">
        <f t="shared" si="76"/>
        <v>20207.8989</v>
      </c>
      <c r="I223" s="98">
        <f t="shared" si="77"/>
        <v>4490.6442000000006</v>
      </c>
      <c r="J223" s="84">
        <f t="shared" si="78"/>
        <v>20207.8989</v>
      </c>
      <c r="K223" s="85"/>
      <c r="L223" s="86">
        <f t="shared" si="54"/>
        <v>20207.8989</v>
      </c>
      <c r="M223" s="99" t="s">
        <v>454</v>
      </c>
      <c r="N223" s="207"/>
      <c r="O223" s="207"/>
      <c r="P223" s="117"/>
      <c r="Q223" s="207"/>
    </row>
    <row r="224" spans="1:17" s="105" customFormat="1" ht="14" x14ac:dyDescent="0.3">
      <c r="A224" s="100" t="s">
        <v>743</v>
      </c>
      <c r="B224" s="118" t="s">
        <v>339</v>
      </c>
      <c r="C224" s="87">
        <v>42811.945</v>
      </c>
      <c r="D224" s="299">
        <v>16482.598825000001</v>
      </c>
      <c r="E224" s="300">
        <v>3853.0750499999999</v>
      </c>
      <c r="F224" s="300">
        <v>22476.271124999999</v>
      </c>
      <c r="G224" s="301" t="s">
        <v>853</v>
      </c>
      <c r="H224" s="83">
        <f>C224*0.385</f>
        <v>16482.598825000001</v>
      </c>
      <c r="I224" s="98">
        <f>C224*0.09</f>
        <v>3853.0750499999999</v>
      </c>
      <c r="J224" s="84">
        <f>C224*0.525</f>
        <v>22476.271124999999</v>
      </c>
      <c r="K224" s="85"/>
      <c r="L224" s="86">
        <f t="shared" si="54"/>
        <v>22476.271124999999</v>
      </c>
      <c r="M224" s="99" t="s">
        <v>454</v>
      </c>
      <c r="N224" s="207"/>
      <c r="O224" s="207"/>
      <c r="P224" s="117"/>
      <c r="Q224" s="207"/>
    </row>
    <row r="225" spans="1:17" ht="14" x14ac:dyDescent="0.3">
      <c r="A225" s="100" t="s">
        <v>715</v>
      </c>
      <c r="B225" s="118" t="s">
        <v>299</v>
      </c>
      <c r="C225" s="87">
        <v>41466.722999999998</v>
      </c>
      <c r="D225" s="299">
        <v>18660.02535</v>
      </c>
      <c r="E225" s="300">
        <v>4146.6723000000002</v>
      </c>
      <c r="F225" s="300">
        <v>18660.02535</v>
      </c>
      <c r="G225" s="301"/>
      <c r="H225" s="83">
        <f t="shared" ref="H225:H228" si="79">C225*0.45</f>
        <v>18660.02535</v>
      </c>
      <c r="I225" s="98">
        <f t="shared" ref="I225:I228" si="80">C225*0.1</f>
        <v>4146.6723000000002</v>
      </c>
      <c r="J225" s="84">
        <f t="shared" ref="J225:J228" si="81">C225*0.45</f>
        <v>18660.02535</v>
      </c>
      <c r="K225" s="85"/>
      <c r="L225" s="86">
        <f t="shared" si="54"/>
        <v>18660.02535</v>
      </c>
      <c r="M225" s="99" t="s">
        <v>454</v>
      </c>
      <c r="N225" s="207"/>
      <c r="O225" s="207"/>
      <c r="P225" s="117"/>
      <c r="Q225" s="207"/>
    </row>
    <row r="226" spans="1:17" ht="14" x14ac:dyDescent="0.3">
      <c r="A226" s="100" t="s">
        <v>719</v>
      </c>
      <c r="B226" s="101" t="s">
        <v>268</v>
      </c>
      <c r="C226" s="87">
        <v>41410.695</v>
      </c>
      <c r="D226" s="293">
        <v>18634.812750000001</v>
      </c>
      <c r="E226" s="294">
        <v>4141.0695000000005</v>
      </c>
      <c r="F226" s="294">
        <v>18634.812750000001</v>
      </c>
      <c r="G226" s="295"/>
      <c r="H226" s="83">
        <f t="shared" si="79"/>
        <v>18634.812750000001</v>
      </c>
      <c r="I226" s="98">
        <f t="shared" si="80"/>
        <v>4141.0695000000005</v>
      </c>
      <c r="J226" s="84">
        <f t="shared" si="81"/>
        <v>18634.812750000001</v>
      </c>
      <c r="K226" s="85"/>
      <c r="L226" s="86">
        <f t="shared" si="54"/>
        <v>18634.812750000001</v>
      </c>
      <c r="M226" s="99" t="s">
        <v>454</v>
      </c>
      <c r="N226" s="207"/>
      <c r="O226" s="207"/>
      <c r="P226" s="117"/>
      <c r="Q226" s="207"/>
    </row>
    <row r="227" spans="1:17" ht="14" x14ac:dyDescent="0.3">
      <c r="A227" s="100" t="s">
        <v>726</v>
      </c>
      <c r="B227" s="101" t="s">
        <v>296</v>
      </c>
      <c r="C227" s="87">
        <v>38322.542999999998</v>
      </c>
      <c r="D227" s="293">
        <v>17245.144349999999</v>
      </c>
      <c r="E227" s="294">
        <v>3832.2543000000001</v>
      </c>
      <c r="F227" s="294">
        <v>17245.144349999999</v>
      </c>
      <c r="G227" s="295"/>
      <c r="H227" s="83">
        <f t="shared" si="79"/>
        <v>17245.144349999999</v>
      </c>
      <c r="I227" s="98">
        <f t="shared" si="80"/>
        <v>3832.2543000000001</v>
      </c>
      <c r="J227" s="84">
        <f t="shared" si="81"/>
        <v>17245.144349999999</v>
      </c>
      <c r="K227" s="85"/>
      <c r="L227" s="86">
        <f t="shared" si="54"/>
        <v>17245.144349999999</v>
      </c>
      <c r="M227" s="99" t="s">
        <v>454</v>
      </c>
      <c r="N227" s="207"/>
      <c r="O227" s="207"/>
      <c r="P227" s="117"/>
      <c r="Q227" s="207"/>
    </row>
    <row r="228" spans="1:17" ht="14" x14ac:dyDescent="0.3">
      <c r="A228" s="100" t="s">
        <v>763</v>
      </c>
      <c r="B228" s="101" t="s">
        <v>764</v>
      </c>
      <c r="C228" s="87">
        <v>34163.072999999997</v>
      </c>
      <c r="D228" s="293">
        <v>15373.382849999998</v>
      </c>
      <c r="E228" s="294">
        <v>3416.3072999999999</v>
      </c>
      <c r="F228" s="294">
        <v>15373.382849999998</v>
      </c>
      <c r="G228" s="295"/>
      <c r="H228" s="83">
        <f t="shared" si="79"/>
        <v>15373.382849999998</v>
      </c>
      <c r="I228" s="98">
        <f t="shared" si="80"/>
        <v>3416.3072999999999</v>
      </c>
      <c r="J228" s="84">
        <f t="shared" si="81"/>
        <v>15373.382849999998</v>
      </c>
      <c r="K228" s="85"/>
      <c r="L228" s="86">
        <f t="shared" si="54"/>
        <v>15373.382849999998</v>
      </c>
      <c r="M228" s="99" t="s">
        <v>454</v>
      </c>
      <c r="N228" s="207"/>
      <c r="O228" s="207"/>
      <c r="P228" s="117"/>
      <c r="Q228" s="207"/>
    </row>
    <row r="229" spans="1:17" ht="14" x14ac:dyDescent="0.3">
      <c r="A229" s="100" t="s">
        <v>739</v>
      </c>
      <c r="B229" s="101" t="s">
        <v>136</v>
      </c>
      <c r="C229" s="87">
        <v>33257.505499999999</v>
      </c>
      <c r="D229" s="293">
        <v>9478.3890674999984</v>
      </c>
      <c r="E229" s="294">
        <v>2993.175495</v>
      </c>
      <c r="F229" s="294">
        <v>20785.9409375</v>
      </c>
      <c r="G229" s="295" t="s">
        <v>852</v>
      </c>
      <c r="H229" s="83">
        <f>C229*0.285</f>
        <v>9478.3890674999984</v>
      </c>
      <c r="I229" s="98">
        <f>C229*0.09</f>
        <v>2993.175495</v>
      </c>
      <c r="J229" s="84">
        <f>C229*0.625</f>
        <v>20785.9409375</v>
      </c>
      <c r="K229" s="85"/>
      <c r="L229" s="86">
        <f t="shared" si="54"/>
        <v>20785.9409375</v>
      </c>
      <c r="M229" s="99" t="s">
        <v>454</v>
      </c>
      <c r="N229" s="207"/>
      <c r="O229" s="207"/>
      <c r="P229" s="117"/>
      <c r="Q229" s="207"/>
    </row>
    <row r="230" spans="1:17" ht="14" x14ac:dyDescent="0.3">
      <c r="A230" s="100" t="s">
        <v>720</v>
      </c>
      <c r="B230" s="101" t="s">
        <v>721</v>
      </c>
      <c r="C230" s="87">
        <v>32856.42</v>
      </c>
      <c r="D230" s="293">
        <v>14785.388999999999</v>
      </c>
      <c r="E230" s="294">
        <v>3285.6419999999998</v>
      </c>
      <c r="F230" s="294">
        <v>14785.388999999999</v>
      </c>
      <c r="G230" s="295"/>
      <c r="H230" s="83">
        <f t="shared" ref="H230" si="82">C230*0.45</f>
        <v>14785.388999999999</v>
      </c>
      <c r="I230" s="98">
        <f t="shared" ref="I230" si="83">C230*0.1</f>
        <v>3285.6419999999998</v>
      </c>
      <c r="J230" s="84">
        <f t="shared" ref="J230" si="84">C230*0.45</f>
        <v>14785.388999999999</v>
      </c>
      <c r="K230" s="85"/>
      <c r="L230" s="86">
        <f t="shared" si="54"/>
        <v>14785.388999999999</v>
      </c>
      <c r="M230" s="99" t="s">
        <v>454</v>
      </c>
      <c r="N230" s="207"/>
      <c r="O230" s="207"/>
      <c r="P230" s="117"/>
      <c r="Q230" s="207"/>
    </row>
    <row r="231" spans="1:17" ht="14" x14ac:dyDescent="0.3">
      <c r="A231" s="100" t="s">
        <v>788</v>
      </c>
      <c r="B231" s="101" t="s">
        <v>340</v>
      </c>
      <c r="C231" s="87">
        <v>32224.714499999998</v>
      </c>
      <c r="D231" s="293">
        <v>12084.267937499999</v>
      </c>
      <c r="E231" s="294">
        <v>0</v>
      </c>
      <c r="F231" s="294">
        <v>20140.446562499998</v>
      </c>
      <c r="G231" s="295" t="s">
        <v>478</v>
      </c>
      <c r="H231" s="83">
        <f>C231*0.375</f>
        <v>12084.267937499999</v>
      </c>
      <c r="I231" s="98">
        <f>C231*0</f>
        <v>0</v>
      </c>
      <c r="J231" s="84">
        <f>C231*0.625</f>
        <v>20140.446562499998</v>
      </c>
      <c r="K231" s="85"/>
      <c r="L231" s="86">
        <f t="shared" si="54"/>
        <v>20140.446562499998</v>
      </c>
      <c r="M231" s="99" t="s">
        <v>454</v>
      </c>
      <c r="N231" s="207"/>
      <c r="O231" s="207"/>
      <c r="P231" s="117"/>
      <c r="Q231" s="207"/>
    </row>
    <row r="232" spans="1:17" ht="14" x14ac:dyDescent="0.3">
      <c r="A232" s="100" t="s">
        <v>724</v>
      </c>
      <c r="B232" s="101" t="s">
        <v>725</v>
      </c>
      <c r="C232" s="87">
        <v>31633.809000000001</v>
      </c>
      <c r="D232" s="293">
        <v>14235.21405</v>
      </c>
      <c r="E232" s="294">
        <v>3163.3809000000001</v>
      </c>
      <c r="F232" s="294">
        <v>14235.21405</v>
      </c>
      <c r="G232" s="295"/>
      <c r="H232" s="83">
        <f t="shared" ref="H232" si="85">C232*0.45</f>
        <v>14235.21405</v>
      </c>
      <c r="I232" s="98">
        <f t="shared" ref="I232" si="86">C232*0.1</f>
        <v>3163.3809000000001</v>
      </c>
      <c r="J232" s="84">
        <f t="shared" ref="J232" si="87">C232*0.45</f>
        <v>14235.21405</v>
      </c>
      <c r="K232" s="85"/>
      <c r="L232" s="86">
        <f t="shared" si="54"/>
        <v>14235.21405</v>
      </c>
      <c r="M232" s="99" t="s">
        <v>454</v>
      </c>
      <c r="N232" s="207"/>
      <c r="O232" s="207"/>
      <c r="P232" s="117"/>
      <c r="Q232" s="207"/>
    </row>
    <row r="233" spans="1:17" ht="14" x14ac:dyDescent="0.3">
      <c r="A233" s="100" t="s">
        <v>733</v>
      </c>
      <c r="B233" s="101" t="s">
        <v>336</v>
      </c>
      <c r="C233" s="87">
        <v>31615.8</v>
      </c>
      <c r="D233" s="293">
        <v>0</v>
      </c>
      <c r="E233" s="294">
        <v>0</v>
      </c>
      <c r="F233" s="294">
        <v>31615.8</v>
      </c>
      <c r="G233" s="295" t="s">
        <v>14</v>
      </c>
      <c r="H233" s="83">
        <f>C233*0</f>
        <v>0</v>
      </c>
      <c r="I233" s="98">
        <f>C233*0</f>
        <v>0</v>
      </c>
      <c r="J233" s="84">
        <f>C233*1</f>
        <v>31615.8</v>
      </c>
      <c r="K233" s="85"/>
      <c r="L233" s="86">
        <f t="shared" si="54"/>
        <v>31615.8</v>
      </c>
      <c r="M233" s="99" t="s">
        <v>454</v>
      </c>
      <c r="N233" s="207"/>
      <c r="O233" s="207"/>
      <c r="P233" s="117"/>
      <c r="Q233" s="207"/>
    </row>
    <row r="234" spans="1:17" ht="14" x14ac:dyDescent="0.3">
      <c r="A234" s="100" t="s">
        <v>735</v>
      </c>
      <c r="B234" s="101" t="s">
        <v>282</v>
      </c>
      <c r="C234" s="87">
        <v>26647.316999999999</v>
      </c>
      <c r="D234" s="293">
        <v>11991.292649999999</v>
      </c>
      <c r="E234" s="294">
        <v>2664.7317000000003</v>
      </c>
      <c r="F234" s="294">
        <v>11991.292649999999</v>
      </c>
      <c r="G234" s="295"/>
      <c r="H234" s="83">
        <f t="shared" ref="H234:H236" si="88">C234*0.45</f>
        <v>11991.292649999999</v>
      </c>
      <c r="I234" s="98">
        <f t="shared" ref="I234:I236" si="89">C234*0.1</f>
        <v>2664.7317000000003</v>
      </c>
      <c r="J234" s="84">
        <f t="shared" ref="J234:J236" si="90">C234*0.45</f>
        <v>11991.292649999999</v>
      </c>
      <c r="K234" s="85"/>
      <c r="L234" s="86">
        <f t="shared" si="54"/>
        <v>11991.292649999999</v>
      </c>
      <c r="M234" s="99" t="s">
        <v>454</v>
      </c>
      <c r="N234" s="207"/>
      <c r="O234" s="207"/>
      <c r="P234" s="117"/>
      <c r="Q234" s="207"/>
    </row>
    <row r="235" spans="1:17" ht="14" x14ac:dyDescent="0.3">
      <c r="A235" s="100" t="s">
        <v>737</v>
      </c>
      <c r="B235" s="101" t="s">
        <v>738</v>
      </c>
      <c r="C235" s="87">
        <v>26339.163</v>
      </c>
      <c r="D235" s="293">
        <v>11852.62335</v>
      </c>
      <c r="E235" s="294">
        <v>2633.9163000000003</v>
      </c>
      <c r="F235" s="294">
        <v>11852.62335</v>
      </c>
      <c r="G235" s="295"/>
      <c r="H235" s="83">
        <f t="shared" si="88"/>
        <v>11852.62335</v>
      </c>
      <c r="I235" s="98">
        <f t="shared" si="89"/>
        <v>2633.9163000000003</v>
      </c>
      <c r="J235" s="84">
        <f t="shared" si="90"/>
        <v>11852.62335</v>
      </c>
      <c r="K235" s="85"/>
      <c r="L235" s="86">
        <f t="shared" si="54"/>
        <v>11852.62335</v>
      </c>
      <c r="M235" s="99" t="s">
        <v>454</v>
      </c>
      <c r="N235" s="207"/>
      <c r="O235" s="207"/>
      <c r="P235" s="117"/>
      <c r="Q235" s="207"/>
    </row>
    <row r="236" spans="1:17" ht="14" x14ac:dyDescent="0.3">
      <c r="A236" s="100" t="s">
        <v>841</v>
      </c>
      <c r="B236" s="101" t="s">
        <v>283</v>
      </c>
      <c r="C236" s="87">
        <v>25190.589</v>
      </c>
      <c r="D236" s="293">
        <v>11335.76505</v>
      </c>
      <c r="E236" s="294">
        <v>2519.0589</v>
      </c>
      <c r="F236" s="294">
        <v>11335.76505</v>
      </c>
      <c r="G236" s="295"/>
      <c r="H236" s="83">
        <f t="shared" si="88"/>
        <v>11335.76505</v>
      </c>
      <c r="I236" s="98">
        <f t="shared" si="89"/>
        <v>2519.0589</v>
      </c>
      <c r="J236" s="84">
        <f t="shared" si="90"/>
        <v>11335.76505</v>
      </c>
      <c r="K236" s="85"/>
      <c r="L236" s="86">
        <f t="shared" si="54"/>
        <v>11335.76505</v>
      </c>
      <c r="M236" s="99" t="s">
        <v>454</v>
      </c>
      <c r="N236" s="207"/>
      <c r="O236" s="207"/>
      <c r="P236" s="117"/>
      <c r="Q236" s="207"/>
    </row>
    <row r="237" spans="1:17" ht="14" x14ac:dyDescent="0.3">
      <c r="A237" s="100" t="s">
        <v>765</v>
      </c>
      <c r="B237" s="101" t="s">
        <v>480</v>
      </c>
      <c r="C237" s="87">
        <v>23521.214499999998</v>
      </c>
      <c r="D237" s="293">
        <v>7291.5764949999993</v>
      </c>
      <c r="E237" s="294">
        <v>2116.9093049999997</v>
      </c>
      <c r="F237" s="294">
        <v>14112.728699999998</v>
      </c>
      <c r="G237" s="295" t="s">
        <v>855</v>
      </c>
      <c r="H237" s="83">
        <f t="shared" ref="H237:H238" si="91">C237*0.31</f>
        <v>7291.5764949999993</v>
      </c>
      <c r="I237" s="98">
        <f t="shared" ref="I237:I238" si="92">C237*0.09</f>
        <v>2116.9093049999997</v>
      </c>
      <c r="J237" s="84">
        <f t="shared" ref="J237:J238" si="93">C237*0.6</f>
        <v>14112.728699999998</v>
      </c>
      <c r="K237" s="85"/>
      <c r="L237" s="86">
        <f t="shared" si="54"/>
        <v>14112.728699999998</v>
      </c>
      <c r="M237" s="99" t="s">
        <v>454</v>
      </c>
      <c r="N237" s="207"/>
      <c r="O237" s="207"/>
      <c r="P237" s="117"/>
      <c r="Q237" s="207"/>
    </row>
    <row r="238" spans="1:17" ht="14" x14ac:dyDescent="0.3">
      <c r="A238" s="100" t="s">
        <v>762</v>
      </c>
      <c r="B238" s="101" t="s">
        <v>480</v>
      </c>
      <c r="C238" s="87">
        <v>21783.0285</v>
      </c>
      <c r="D238" s="293">
        <v>6752.7388350000001</v>
      </c>
      <c r="E238" s="294">
        <v>1960.472565</v>
      </c>
      <c r="F238" s="294">
        <v>13069.8171</v>
      </c>
      <c r="G238" s="295" t="s">
        <v>855</v>
      </c>
      <c r="H238" s="83">
        <f t="shared" si="91"/>
        <v>6752.7388350000001</v>
      </c>
      <c r="I238" s="98">
        <f t="shared" si="92"/>
        <v>1960.472565</v>
      </c>
      <c r="J238" s="84">
        <f t="shared" si="93"/>
        <v>13069.8171</v>
      </c>
      <c r="K238" s="85"/>
      <c r="L238" s="86">
        <f t="shared" si="54"/>
        <v>13069.8171</v>
      </c>
      <c r="M238" s="99" t="s">
        <v>454</v>
      </c>
      <c r="N238" s="207"/>
      <c r="O238" s="207"/>
      <c r="P238" s="117"/>
      <c r="Q238" s="207"/>
    </row>
    <row r="239" spans="1:17" ht="14" x14ac:dyDescent="0.3">
      <c r="A239" s="100" t="s">
        <v>734</v>
      </c>
      <c r="B239" s="101" t="s">
        <v>286</v>
      </c>
      <c r="C239" s="87">
        <v>21454.722000000002</v>
      </c>
      <c r="D239" s="293">
        <v>9654.6249000000007</v>
      </c>
      <c r="E239" s="294">
        <v>2145.4722000000002</v>
      </c>
      <c r="F239" s="294">
        <v>9654.6249000000007</v>
      </c>
      <c r="G239" s="295"/>
      <c r="H239" s="83">
        <f t="shared" ref="H239:H241" si="94">C239*0.45</f>
        <v>9654.6249000000007</v>
      </c>
      <c r="I239" s="98">
        <f t="shared" ref="I239:I241" si="95">C239*0.1</f>
        <v>2145.4722000000002</v>
      </c>
      <c r="J239" s="84">
        <f t="shared" ref="J239:J241" si="96">C239*0.45</f>
        <v>9654.6249000000007</v>
      </c>
      <c r="K239" s="85"/>
      <c r="L239" s="86">
        <f t="shared" si="54"/>
        <v>9654.6249000000007</v>
      </c>
      <c r="M239" s="99" t="s">
        <v>454</v>
      </c>
      <c r="N239" s="207"/>
      <c r="O239" s="207"/>
      <c r="P239" s="117"/>
      <c r="Q239" s="207"/>
    </row>
    <row r="240" spans="1:17" ht="14" x14ac:dyDescent="0.3">
      <c r="A240" s="100" t="s">
        <v>746</v>
      </c>
      <c r="B240" s="101" t="s">
        <v>747</v>
      </c>
      <c r="C240" s="87">
        <v>19429.71</v>
      </c>
      <c r="D240" s="293">
        <v>8743.3695000000007</v>
      </c>
      <c r="E240" s="294">
        <v>1942.971</v>
      </c>
      <c r="F240" s="294">
        <v>8743.3695000000007</v>
      </c>
      <c r="G240" s="295"/>
      <c r="H240" s="83">
        <f t="shared" si="94"/>
        <v>8743.3695000000007</v>
      </c>
      <c r="I240" s="98">
        <f t="shared" si="95"/>
        <v>1942.971</v>
      </c>
      <c r="J240" s="84">
        <f t="shared" si="96"/>
        <v>8743.3695000000007</v>
      </c>
      <c r="K240" s="85"/>
      <c r="L240" s="86">
        <f t="shared" si="54"/>
        <v>8743.3695000000007</v>
      </c>
      <c r="M240" s="99" t="s">
        <v>454</v>
      </c>
      <c r="N240" s="207"/>
      <c r="O240" s="207"/>
      <c r="P240" s="117"/>
      <c r="Q240" s="207"/>
    </row>
    <row r="241" spans="1:17" ht="14" x14ac:dyDescent="0.3">
      <c r="A241" s="100" t="s">
        <v>744</v>
      </c>
      <c r="B241" s="101" t="s">
        <v>282</v>
      </c>
      <c r="C241" s="87">
        <v>18893.441999999999</v>
      </c>
      <c r="D241" s="293">
        <v>8502.0488999999998</v>
      </c>
      <c r="E241" s="294">
        <v>1889.3442</v>
      </c>
      <c r="F241" s="294">
        <v>8502.0488999999998</v>
      </c>
      <c r="G241" s="295"/>
      <c r="H241" s="83">
        <f t="shared" si="94"/>
        <v>8502.0488999999998</v>
      </c>
      <c r="I241" s="98">
        <f t="shared" si="95"/>
        <v>1889.3442</v>
      </c>
      <c r="J241" s="84">
        <f t="shared" si="96"/>
        <v>8502.0488999999998</v>
      </c>
      <c r="K241" s="85"/>
      <c r="L241" s="86">
        <f t="shared" ref="L241:L304" si="97">J241-K241</f>
        <v>8502.0488999999998</v>
      </c>
      <c r="M241" s="99" t="s">
        <v>454</v>
      </c>
      <c r="N241" s="207"/>
      <c r="O241" s="207"/>
      <c r="P241" s="117"/>
      <c r="Q241" s="207"/>
    </row>
    <row r="242" spans="1:17" ht="14" x14ac:dyDescent="0.3">
      <c r="A242" s="100" t="s">
        <v>749</v>
      </c>
      <c r="B242" s="101" t="s">
        <v>495</v>
      </c>
      <c r="C242" s="87">
        <v>18703.781500000001</v>
      </c>
      <c r="D242" s="293">
        <v>5330.5777275</v>
      </c>
      <c r="E242" s="294">
        <v>1683.3403350000001</v>
      </c>
      <c r="F242" s="294">
        <v>11689.8634375</v>
      </c>
      <c r="G242" s="295" t="s">
        <v>852</v>
      </c>
      <c r="H242" s="83">
        <f>C242*0.285</f>
        <v>5330.5777275</v>
      </c>
      <c r="I242" s="98">
        <f>C242*0.09</f>
        <v>1683.3403350000001</v>
      </c>
      <c r="J242" s="84">
        <f>C242*0.625</f>
        <v>11689.8634375</v>
      </c>
      <c r="K242" s="85"/>
      <c r="L242" s="86">
        <f t="shared" si="97"/>
        <v>11689.8634375</v>
      </c>
      <c r="M242" s="99" t="s">
        <v>454</v>
      </c>
      <c r="N242" s="207"/>
      <c r="O242" s="207"/>
      <c r="P242" s="117"/>
      <c r="Q242" s="207"/>
    </row>
    <row r="243" spans="1:17" ht="14" x14ac:dyDescent="0.3">
      <c r="A243" s="100" t="s">
        <v>827</v>
      </c>
      <c r="B243" s="101" t="s">
        <v>901</v>
      </c>
      <c r="C243" s="87">
        <v>18413.202000000001</v>
      </c>
      <c r="D243" s="293">
        <v>7089.0827700000009</v>
      </c>
      <c r="E243" s="294">
        <v>1657.1881800000001</v>
      </c>
      <c r="F243" s="294">
        <v>9666.9310500000011</v>
      </c>
      <c r="G243" s="295" t="s">
        <v>853</v>
      </c>
      <c r="H243" s="83">
        <f>C243*0.385</f>
        <v>7089.0827700000009</v>
      </c>
      <c r="I243" s="98">
        <f>C243*0.09</f>
        <v>1657.1881800000001</v>
      </c>
      <c r="J243" s="84">
        <f>C243*0.525</f>
        <v>9666.9310500000011</v>
      </c>
      <c r="K243" s="85"/>
      <c r="L243" s="86">
        <f t="shared" si="97"/>
        <v>9666.9310500000011</v>
      </c>
      <c r="M243" s="99" t="s">
        <v>454</v>
      </c>
      <c r="N243" s="207"/>
      <c r="O243" s="207"/>
      <c r="P243" s="117"/>
      <c r="Q243" s="207"/>
    </row>
    <row r="244" spans="1:17" ht="14" x14ac:dyDescent="0.3">
      <c r="A244" s="100" t="s">
        <v>807</v>
      </c>
      <c r="B244" s="101" t="s">
        <v>808</v>
      </c>
      <c r="C244" s="87">
        <v>16566.399000000001</v>
      </c>
      <c r="D244" s="293">
        <v>7454.8795500000006</v>
      </c>
      <c r="E244" s="294">
        <v>1656.6399000000001</v>
      </c>
      <c r="F244" s="294">
        <v>7454.8795500000006</v>
      </c>
      <c r="G244" s="295"/>
      <c r="H244" s="83">
        <f t="shared" ref="H244:H247" si="98">C244*0.45</f>
        <v>7454.8795500000006</v>
      </c>
      <c r="I244" s="98">
        <f t="shared" ref="I244:I247" si="99">C244*0.1</f>
        <v>1656.6399000000001</v>
      </c>
      <c r="J244" s="84">
        <f t="shared" ref="J244:J247" si="100">C244*0.45</f>
        <v>7454.8795500000006</v>
      </c>
      <c r="K244" s="85"/>
      <c r="L244" s="86">
        <f t="shared" si="97"/>
        <v>7454.8795500000006</v>
      </c>
      <c r="M244" s="99" t="s">
        <v>454</v>
      </c>
      <c r="N244" s="207"/>
      <c r="O244" s="207"/>
      <c r="P244" s="117"/>
      <c r="Q244" s="207"/>
    </row>
    <row r="245" spans="1:17" ht="14" x14ac:dyDescent="0.3">
      <c r="A245" s="100" t="s">
        <v>751</v>
      </c>
      <c r="B245" s="101" t="s">
        <v>290</v>
      </c>
      <c r="C245" s="87">
        <v>16296.144</v>
      </c>
      <c r="D245" s="293">
        <v>7333.2647999999999</v>
      </c>
      <c r="E245" s="294">
        <v>1629.6144000000002</v>
      </c>
      <c r="F245" s="294">
        <v>7333.2647999999999</v>
      </c>
      <c r="G245" s="295"/>
      <c r="H245" s="83">
        <f t="shared" si="98"/>
        <v>7333.2647999999999</v>
      </c>
      <c r="I245" s="98">
        <f t="shared" si="99"/>
        <v>1629.6144000000002</v>
      </c>
      <c r="J245" s="84">
        <f t="shared" si="100"/>
        <v>7333.2647999999999</v>
      </c>
      <c r="K245" s="85"/>
      <c r="L245" s="86">
        <f t="shared" si="97"/>
        <v>7333.2647999999999</v>
      </c>
      <c r="M245" s="99" t="s">
        <v>454</v>
      </c>
      <c r="N245" s="207"/>
      <c r="O245" s="207"/>
      <c r="P245" s="117"/>
      <c r="Q245" s="207"/>
    </row>
    <row r="246" spans="1:17" ht="14" x14ac:dyDescent="0.3">
      <c r="A246" s="100" t="s">
        <v>745</v>
      </c>
      <c r="B246" s="101" t="s">
        <v>266</v>
      </c>
      <c r="C246" s="87">
        <v>16126.058999999999</v>
      </c>
      <c r="D246" s="293">
        <v>7256.7265499999994</v>
      </c>
      <c r="E246" s="294">
        <v>1612.6059</v>
      </c>
      <c r="F246" s="294">
        <v>7256.7265499999994</v>
      </c>
      <c r="G246" s="295"/>
      <c r="H246" s="83">
        <f t="shared" si="98"/>
        <v>7256.7265499999994</v>
      </c>
      <c r="I246" s="98">
        <f t="shared" si="99"/>
        <v>1612.6059</v>
      </c>
      <c r="J246" s="84">
        <f t="shared" si="100"/>
        <v>7256.7265499999994</v>
      </c>
      <c r="K246" s="85"/>
      <c r="L246" s="86">
        <f t="shared" si="97"/>
        <v>7256.7265499999994</v>
      </c>
      <c r="M246" s="99" t="s">
        <v>454</v>
      </c>
      <c r="N246" s="207"/>
      <c r="O246" s="207"/>
      <c r="P246" s="117"/>
      <c r="Q246" s="207"/>
    </row>
    <row r="247" spans="1:17" ht="14" x14ac:dyDescent="0.3">
      <c r="A247" s="100" t="s">
        <v>756</v>
      </c>
      <c r="B247" s="101" t="s">
        <v>757</v>
      </c>
      <c r="C247" s="87">
        <v>14423.208000000001</v>
      </c>
      <c r="D247" s="293">
        <v>6490.4436000000005</v>
      </c>
      <c r="E247" s="294">
        <v>1442.3208000000002</v>
      </c>
      <c r="F247" s="294">
        <v>6490.4436000000005</v>
      </c>
      <c r="G247" s="295"/>
      <c r="H247" s="83">
        <f t="shared" si="98"/>
        <v>6490.4436000000005</v>
      </c>
      <c r="I247" s="98">
        <f t="shared" si="99"/>
        <v>1442.3208000000002</v>
      </c>
      <c r="J247" s="84">
        <f t="shared" si="100"/>
        <v>6490.4436000000005</v>
      </c>
      <c r="K247" s="85"/>
      <c r="L247" s="86">
        <f t="shared" si="97"/>
        <v>6490.4436000000005</v>
      </c>
      <c r="M247" s="99" t="s">
        <v>454</v>
      </c>
      <c r="N247" s="207"/>
      <c r="O247" s="207"/>
      <c r="P247" s="117"/>
      <c r="Q247" s="207"/>
    </row>
    <row r="248" spans="1:17" ht="14" x14ac:dyDescent="0.3">
      <c r="A248" s="100" t="s">
        <v>752</v>
      </c>
      <c r="B248" s="101" t="s">
        <v>136</v>
      </c>
      <c r="C248" s="87">
        <v>14381.405500000001</v>
      </c>
      <c r="D248" s="293">
        <v>4098.7005675</v>
      </c>
      <c r="E248" s="294">
        <v>1294.326495</v>
      </c>
      <c r="F248" s="294">
        <v>8988.3784374999996</v>
      </c>
      <c r="G248" s="295" t="s">
        <v>852</v>
      </c>
      <c r="H248" s="83">
        <f>C248*0.285</f>
        <v>4098.7005675</v>
      </c>
      <c r="I248" s="98">
        <f>C248*0.09</f>
        <v>1294.326495</v>
      </c>
      <c r="J248" s="84">
        <f>C248*0.625</f>
        <v>8988.3784374999996</v>
      </c>
      <c r="K248" s="85"/>
      <c r="L248" s="86">
        <f t="shared" si="97"/>
        <v>8988.3784374999996</v>
      </c>
      <c r="M248" s="99" t="s">
        <v>454</v>
      </c>
      <c r="N248" s="207"/>
      <c r="O248" s="207"/>
      <c r="P248" s="117"/>
      <c r="Q248" s="207"/>
    </row>
    <row r="249" spans="1:17" ht="14" x14ac:dyDescent="0.3">
      <c r="A249" s="100" t="s">
        <v>748</v>
      </c>
      <c r="B249" s="101" t="s">
        <v>363</v>
      </c>
      <c r="C249" s="87">
        <v>14013.003000000001</v>
      </c>
      <c r="D249" s="293">
        <v>6305.8513500000008</v>
      </c>
      <c r="E249" s="294">
        <v>1401.3003000000001</v>
      </c>
      <c r="F249" s="294">
        <v>6305.8513500000008</v>
      </c>
      <c r="G249" s="295"/>
      <c r="H249" s="83">
        <f t="shared" ref="H249" si="101">C249*0.45</f>
        <v>6305.8513500000008</v>
      </c>
      <c r="I249" s="98">
        <f t="shared" ref="I249" si="102">C249*0.1</f>
        <v>1401.3003000000001</v>
      </c>
      <c r="J249" s="84">
        <f t="shared" ref="J249" si="103">C249*0.45</f>
        <v>6305.8513500000008</v>
      </c>
      <c r="K249" s="85"/>
      <c r="L249" s="86">
        <f t="shared" si="97"/>
        <v>6305.8513500000008</v>
      </c>
      <c r="M249" s="99" t="s">
        <v>454</v>
      </c>
      <c r="N249" s="207"/>
      <c r="O249" s="207"/>
      <c r="P249" s="117"/>
      <c r="Q249" s="207"/>
    </row>
    <row r="250" spans="1:17" ht="14" x14ac:dyDescent="0.3">
      <c r="A250" s="100" t="s">
        <v>892</v>
      </c>
      <c r="B250" s="101" t="s">
        <v>893</v>
      </c>
      <c r="C250" s="87">
        <v>13775.371499999999</v>
      </c>
      <c r="D250" s="293">
        <v>5510.1486000000004</v>
      </c>
      <c r="E250" s="294">
        <v>0</v>
      </c>
      <c r="F250" s="294">
        <v>8265.2228999999988</v>
      </c>
      <c r="G250" s="295" t="s">
        <v>905</v>
      </c>
      <c r="H250" s="83">
        <f>C250*0.4</f>
        <v>5510.1486000000004</v>
      </c>
      <c r="I250" s="98">
        <f>C250*0</f>
        <v>0</v>
      </c>
      <c r="J250" s="84">
        <f>C250*0.6</f>
        <v>8265.2228999999988</v>
      </c>
      <c r="K250" s="85"/>
      <c r="L250" s="86">
        <f t="shared" si="97"/>
        <v>8265.2228999999988</v>
      </c>
      <c r="M250" s="99" t="s">
        <v>454</v>
      </c>
      <c r="N250" s="207"/>
      <c r="O250" s="207"/>
      <c r="P250" s="117"/>
      <c r="Q250" s="207"/>
    </row>
    <row r="251" spans="1:17" ht="14" x14ac:dyDescent="0.3">
      <c r="A251" s="100" t="s">
        <v>759</v>
      </c>
      <c r="B251" s="101" t="s">
        <v>495</v>
      </c>
      <c r="C251" s="87">
        <v>13713.789000000001</v>
      </c>
      <c r="D251" s="293">
        <v>3222.7404149999998</v>
      </c>
      <c r="E251" s="294">
        <v>1234.24101</v>
      </c>
      <c r="F251" s="294">
        <v>9256.8075750000007</v>
      </c>
      <c r="G251" s="295" t="s">
        <v>858</v>
      </c>
      <c r="H251" s="83">
        <f>C251*0.235</f>
        <v>3222.7404149999998</v>
      </c>
      <c r="I251" s="98">
        <f>C251*0.09</f>
        <v>1234.24101</v>
      </c>
      <c r="J251" s="84">
        <f>C251*0.675</f>
        <v>9256.8075750000007</v>
      </c>
      <c r="K251" s="85"/>
      <c r="L251" s="86">
        <f t="shared" si="97"/>
        <v>9256.8075750000007</v>
      </c>
      <c r="M251" s="99" t="s">
        <v>454</v>
      </c>
      <c r="N251" s="207"/>
      <c r="O251" s="207"/>
      <c r="P251" s="117"/>
      <c r="Q251" s="207"/>
    </row>
    <row r="252" spans="1:17" ht="14" x14ac:dyDescent="0.3">
      <c r="A252" s="100" t="s">
        <v>874</v>
      </c>
      <c r="B252" s="101" t="s">
        <v>861</v>
      </c>
      <c r="C252" s="87">
        <v>13389.172500000001</v>
      </c>
      <c r="D252" s="293">
        <v>6025.1276250000001</v>
      </c>
      <c r="E252" s="294">
        <v>1338.9172500000002</v>
      </c>
      <c r="F252" s="294">
        <v>6025.1276250000001</v>
      </c>
      <c r="G252" s="295"/>
      <c r="H252" s="83">
        <f t="shared" ref="H252" si="104">C252*0.45</f>
        <v>6025.1276250000001</v>
      </c>
      <c r="I252" s="98">
        <f t="shared" ref="I252" si="105">C252*0.1</f>
        <v>1338.9172500000002</v>
      </c>
      <c r="J252" s="84">
        <f t="shared" ref="J252" si="106">C252*0.45</f>
        <v>6025.1276250000001</v>
      </c>
      <c r="K252" s="85"/>
      <c r="L252" s="86">
        <f t="shared" si="97"/>
        <v>6025.1276250000001</v>
      </c>
      <c r="M252" s="99" t="s">
        <v>454</v>
      </c>
      <c r="N252" s="207"/>
      <c r="O252" s="207"/>
      <c r="P252" s="117"/>
      <c r="Q252" s="207"/>
    </row>
    <row r="253" spans="1:17" ht="14" x14ac:dyDescent="0.3">
      <c r="A253" s="100" t="s">
        <v>753</v>
      </c>
      <c r="B253" s="101" t="s">
        <v>136</v>
      </c>
      <c r="C253" s="87">
        <v>13113.0015</v>
      </c>
      <c r="D253" s="293">
        <v>3737.2054274999996</v>
      </c>
      <c r="E253" s="294">
        <v>1180.1701350000001</v>
      </c>
      <c r="F253" s="294">
        <v>8195.6259375000009</v>
      </c>
      <c r="G253" s="295" t="s">
        <v>852</v>
      </c>
      <c r="H253" s="83">
        <f>C253*0.285</f>
        <v>3737.2054274999996</v>
      </c>
      <c r="I253" s="98">
        <f>C253*0.09</f>
        <v>1180.1701350000001</v>
      </c>
      <c r="J253" s="84">
        <f>C253*0.625</f>
        <v>8195.6259375000009</v>
      </c>
      <c r="K253" s="85"/>
      <c r="L253" s="86">
        <f t="shared" si="97"/>
        <v>8195.6259375000009</v>
      </c>
      <c r="M253" s="99" t="s">
        <v>454</v>
      </c>
      <c r="N253" s="207"/>
      <c r="O253" s="207"/>
      <c r="P253" s="117"/>
      <c r="Q253" s="207"/>
    </row>
    <row r="254" spans="1:17" ht="14" x14ac:dyDescent="0.3">
      <c r="A254" s="100" t="s">
        <v>758</v>
      </c>
      <c r="B254" s="101" t="s">
        <v>339</v>
      </c>
      <c r="C254" s="87">
        <v>13100.523999999999</v>
      </c>
      <c r="D254" s="293">
        <v>5043.7017399999995</v>
      </c>
      <c r="E254" s="294">
        <v>1179.0471599999998</v>
      </c>
      <c r="F254" s="294">
        <v>6877.7750999999998</v>
      </c>
      <c r="G254" s="295" t="s">
        <v>853</v>
      </c>
      <c r="H254" s="83">
        <f>C254*0.385</f>
        <v>5043.7017399999995</v>
      </c>
      <c r="I254" s="98">
        <f>C254*0.09</f>
        <v>1179.0471599999998</v>
      </c>
      <c r="J254" s="84">
        <f>C254*0.525</f>
        <v>6877.7750999999998</v>
      </c>
      <c r="K254" s="85"/>
      <c r="L254" s="86">
        <f t="shared" si="97"/>
        <v>6877.7750999999998</v>
      </c>
      <c r="M254" s="99" t="s">
        <v>454</v>
      </c>
      <c r="N254" s="207"/>
      <c r="O254" s="207"/>
      <c r="P254" s="117"/>
      <c r="Q254" s="207"/>
    </row>
    <row r="255" spans="1:17" ht="14" x14ac:dyDescent="0.3">
      <c r="A255" s="100" t="s">
        <v>870</v>
      </c>
      <c r="B255" s="101" t="s">
        <v>861</v>
      </c>
      <c r="C255" s="87">
        <v>11367.3735</v>
      </c>
      <c r="D255" s="293">
        <v>5115.3180750000001</v>
      </c>
      <c r="E255" s="294">
        <v>1136.7373500000001</v>
      </c>
      <c r="F255" s="294">
        <v>5115.3180750000001</v>
      </c>
      <c r="G255" s="295"/>
      <c r="H255" s="83">
        <f t="shared" ref="H255" si="107">C255*0.45</f>
        <v>5115.3180750000001</v>
      </c>
      <c r="I255" s="98">
        <f t="shared" ref="I255" si="108">C255*0.1</f>
        <v>1136.7373500000001</v>
      </c>
      <c r="J255" s="84">
        <f t="shared" ref="J255" si="109">C255*0.45</f>
        <v>5115.3180750000001</v>
      </c>
      <c r="K255" s="85"/>
      <c r="L255" s="86">
        <f t="shared" si="97"/>
        <v>5115.3180750000001</v>
      </c>
      <c r="M255" s="99" t="s">
        <v>454</v>
      </c>
      <c r="N255" s="207"/>
      <c r="O255" s="207"/>
      <c r="P255" s="117"/>
      <c r="Q255" s="207"/>
    </row>
    <row r="256" spans="1:17" ht="14" x14ac:dyDescent="0.3">
      <c r="A256" s="100" t="s">
        <v>849</v>
      </c>
      <c r="B256" s="101" t="s">
        <v>881</v>
      </c>
      <c r="C256" s="87">
        <v>11200.793</v>
      </c>
      <c r="D256" s="293">
        <v>4312.3053049999999</v>
      </c>
      <c r="E256" s="294">
        <v>1008.0713699999999</v>
      </c>
      <c r="F256" s="294">
        <v>5880.4163250000001</v>
      </c>
      <c r="G256" s="295" t="s">
        <v>882</v>
      </c>
      <c r="H256" s="83">
        <f>C256*0.385</f>
        <v>4312.3053049999999</v>
      </c>
      <c r="I256" s="98">
        <f>C256*0.09</f>
        <v>1008.0713699999999</v>
      </c>
      <c r="J256" s="84">
        <f>C256*0.525</f>
        <v>5880.4163250000001</v>
      </c>
      <c r="K256" s="85"/>
      <c r="L256" s="86">
        <f t="shared" si="97"/>
        <v>5880.4163250000001</v>
      </c>
      <c r="M256" s="99" t="s">
        <v>454</v>
      </c>
      <c r="N256" s="207"/>
      <c r="O256" s="207"/>
      <c r="P256" s="117"/>
      <c r="Q256" s="207"/>
    </row>
    <row r="257" spans="1:17" ht="14" x14ac:dyDescent="0.3">
      <c r="A257" s="100" t="s">
        <v>866</v>
      </c>
      <c r="B257" s="101" t="s">
        <v>867</v>
      </c>
      <c r="C257" s="87">
        <v>10435.295</v>
      </c>
      <c r="D257" s="293">
        <v>2713.1767</v>
      </c>
      <c r="E257" s="294">
        <v>939.17655000000002</v>
      </c>
      <c r="F257" s="294">
        <v>6782.94175</v>
      </c>
      <c r="G257" s="295" t="s">
        <v>906</v>
      </c>
      <c r="H257" s="83">
        <f>C257*0.26</f>
        <v>2713.1767</v>
      </c>
      <c r="I257" s="98">
        <f>C257*0.09</f>
        <v>939.17655000000002</v>
      </c>
      <c r="J257" s="84">
        <f>C257*0.65</f>
        <v>6782.94175</v>
      </c>
      <c r="K257" s="85"/>
      <c r="L257" s="86">
        <f t="shared" si="97"/>
        <v>6782.94175</v>
      </c>
      <c r="M257" s="99" t="s">
        <v>454</v>
      </c>
      <c r="N257" s="207"/>
      <c r="O257" s="207"/>
      <c r="P257" s="117"/>
      <c r="Q257" s="207"/>
    </row>
    <row r="258" spans="1:17" ht="14" x14ac:dyDescent="0.3">
      <c r="A258" s="100" t="s">
        <v>864</v>
      </c>
      <c r="B258" s="101" t="s">
        <v>865</v>
      </c>
      <c r="C258" s="87">
        <v>9970.9830000000002</v>
      </c>
      <c r="D258" s="293">
        <v>4486.9423500000003</v>
      </c>
      <c r="E258" s="294">
        <v>997.09830000000011</v>
      </c>
      <c r="F258" s="294">
        <v>4486.9423500000003</v>
      </c>
      <c r="G258" s="295"/>
      <c r="H258" s="83">
        <f t="shared" ref="H258:H263" si="110">C258*0.45</f>
        <v>4486.9423500000003</v>
      </c>
      <c r="I258" s="98">
        <f t="shared" ref="I258:I263" si="111">C258*0.1</f>
        <v>997.09830000000011</v>
      </c>
      <c r="J258" s="84">
        <f t="shared" ref="J258:J263" si="112">C258*0.45</f>
        <v>4486.9423500000003</v>
      </c>
      <c r="K258" s="85"/>
      <c r="L258" s="86">
        <f t="shared" si="97"/>
        <v>4486.9423500000003</v>
      </c>
      <c r="M258" s="99" t="s">
        <v>454</v>
      </c>
      <c r="N258" s="207"/>
      <c r="O258" s="207"/>
      <c r="P258" s="117"/>
      <c r="Q258" s="207"/>
    </row>
    <row r="259" spans="1:17" ht="14" x14ac:dyDescent="0.3">
      <c r="A259" s="100" t="s">
        <v>810</v>
      </c>
      <c r="B259" s="101" t="s">
        <v>811</v>
      </c>
      <c r="C259" s="87">
        <v>9768.2999999999993</v>
      </c>
      <c r="D259" s="293">
        <v>4395.7349999999997</v>
      </c>
      <c r="E259" s="294">
        <v>976.82999999999993</v>
      </c>
      <c r="F259" s="294">
        <v>4395.7349999999997</v>
      </c>
      <c r="G259" s="295"/>
      <c r="H259" s="83">
        <f t="shared" si="110"/>
        <v>4395.7349999999997</v>
      </c>
      <c r="I259" s="98">
        <f t="shared" si="111"/>
        <v>976.82999999999993</v>
      </c>
      <c r="J259" s="84">
        <f t="shared" si="112"/>
        <v>4395.7349999999997</v>
      </c>
      <c r="K259" s="85"/>
      <c r="L259" s="86">
        <f t="shared" si="97"/>
        <v>4395.7349999999997</v>
      </c>
      <c r="M259" s="99" t="s">
        <v>454</v>
      </c>
      <c r="N259" s="207"/>
      <c r="O259" s="207"/>
      <c r="P259" s="117"/>
      <c r="Q259" s="207"/>
    </row>
    <row r="260" spans="1:17" ht="14" x14ac:dyDescent="0.3">
      <c r="A260" s="100" t="s">
        <v>820</v>
      </c>
      <c r="B260" s="101" t="s">
        <v>821</v>
      </c>
      <c r="C260" s="87">
        <v>9108.5519999999997</v>
      </c>
      <c r="D260" s="293">
        <v>4098.8483999999999</v>
      </c>
      <c r="E260" s="294">
        <v>910.85519999999997</v>
      </c>
      <c r="F260" s="294">
        <v>4098.8483999999999</v>
      </c>
      <c r="G260" s="295"/>
      <c r="H260" s="83">
        <f t="shared" si="110"/>
        <v>4098.8483999999999</v>
      </c>
      <c r="I260" s="98">
        <f t="shared" si="111"/>
        <v>910.85519999999997</v>
      </c>
      <c r="J260" s="84">
        <f t="shared" si="112"/>
        <v>4098.8483999999999</v>
      </c>
      <c r="K260" s="85"/>
      <c r="L260" s="86">
        <f t="shared" si="97"/>
        <v>4098.8483999999999</v>
      </c>
      <c r="M260" s="99" t="s">
        <v>454</v>
      </c>
      <c r="N260" s="207"/>
      <c r="O260" s="207"/>
      <c r="P260" s="117"/>
      <c r="Q260" s="207"/>
    </row>
    <row r="261" spans="1:17" ht="14" x14ac:dyDescent="0.3">
      <c r="A261" s="100" t="s">
        <v>729</v>
      </c>
      <c r="B261" s="101" t="s">
        <v>730</v>
      </c>
      <c r="C261" s="87">
        <v>7831.9139999999998</v>
      </c>
      <c r="D261" s="293">
        <v>3524.3613</v>
      </c>
      <c r="E261" s="294">
        <v>783.19140000000004</v>
      </c>
      <c r="F261" s="294">
        <v>3524.3613</v>
      </c>
      <c r="G261" s="295"/>
      <c r="H261" s="83">
        <f t="shared" si="110"/>
        <v>3524.3613</v>
      </c>
      <c r="I261" s="98">
        <f t="shared" si="111"/>
        <v>783.19140000000004</v>
      </c>
      <c r="J261" s="84">
        <f t="shared" si="112"/>
        <v>3524.3613</v>
      </c>
      <c r="K261" s="85"/>
      <c r="L261" s="86">
        <f t="shared" si="97"/>
        <v>3524.3613</v>
      </c>
      <c r="M261" s="99" t="s">
        <v>454</v>
      </c>
      <c r="N261" s="207"/>
      <c r="O261" s="207"/>
      <c r="P261" s="117"/>
      <c r="Q261" s="207"/>
    </row>
    <row r="262" spans="1:17" ht="14" x14ac:dyDescent="0.3">
      <c r="A262" s="100" t="s">
        <v>632</v>
      </c>
      <c r="B262" s="101" t="s">
        <v>210</v>
      </c>
      <c r="C262" s="87">
        <v>6283.14</v>
      </c>
      <c r="D262" s="293">
        <v>2827.413</v>
      </c>
      <c r="E262" s="294">
        <v>628.31400000000008</v>
      </c>
      <c r="F262" s="294">
        <v>2827.413</v>
      </c>
      <c r="G262" s="295"/>
      <c r="H262" s="83">
        <f t="shared" si="110"/>
        <v>2827.413</v>
      </c>
      <c r="I262" s="98">
        <f t="shared" si="111"/>
        <v>628.31400000000008</v>
      </c>
      <c r="J262" s="84">
        <f t="shared" si="112"/>
        <v>2827.413</v>
      </c>
      <c r="K262" s="85"/>
      <c r="L262" s="86">
        <f t="shared" si="97"/>
        <v>2827.413</v>
      </c>
      <c r="M262" s="99" t="s">
        <v>454</v>
      </c>
      <c r="N262" s="207"/>
      <c r="O262" s="207"/>
      <c r="P262" s="117"/>
      <c r="Q262" s="207"/>
    </row>
    <row r="263" spans="1:17" ht="14" x14ac:dyDescent="0.3">
      <c r="A263" s="100" t="s">
        <v>850</v>
      </c>
      <c r="B263" s="101" t="s">
        <v>860</v>
      </c>
      <c r="C263" s="87">
        <v>5964.9809999999998</v>
      </c>
      <c r="D263" s="293">
        <v>2684.24145</v>
      </c>
      <c r="E263" s="294">
        <v>596.49810000000002</v>
      </c>
      <c r="F263" s="294">
        <v>2684.24145</v>
      </c>
      <c r="G263" s="295"/>
      <c r="H263" s="83">
        <f t="shared" si="110"/>
        <v>2684.24145</v>
      </c>
      <c r="I263" s="98">
        <f t="shared" si="111"/>
        <v>596.49810000000002</v>
      </c>
      <c r="J263" s="84">
        <f t="shared" si="112"/>
        <v>2684.24145</v>
      </c>
      <c r="K263" s="85"/>
      <c r="L263" s="86">
        <f t="shared" si="97"/>
        <v>2684.24145</v>
      </c>
      <c r="M263" s="99" t="s">
        <v>454</v>
      </c>
      <c r="N263" s="207"/>
      <c r="O263" s="207"/>
      <c r="P263" s="117"/>
      <c r="Q263" s="207"/>
    </row>
    <row r="264" spans="1:17" ht="14" x14ac:dyDescent="0.3">
      <c r="A264" s="100" t="s">
        <v>847</v>
      </c>
      <c r="B264" s="101" t="s">
        <v>881</v>
      </c>
      <c r="C264" s="87">
        <v>5613.0810000000001</v>
      </c>
      <c r="D264" s="293">
        <v>2161.0361849999999</v>
      </c>
      <c r="E264" s="294">
        <v>505.17728999999997</v>
      </c>
      <c r="F264" s="294">
        <v>2946.8675250000001</v>
      </c>
      <c r="G264" s="295" t="s">
        <v>882</v>
      </c>
      <c r="H264" s="83">
        <f>C264*0.385</f>
        <v>2161.0361849999999</v>
      </c>
      <c r="I264" s="98">
        <f>C264*0.09</f>
        <v>505.17728999999997</v>
      </c>
      <c r="J264" s="84">
        <f>C264*0.525</f>
        <v>2946.8675250000001</v>
      </c>
      <c r="K264" s="85"/>
      <c r="L264" s="86">
        <f t="shared" si="97"/>
        <v>2946.8675250000001</v>
      </c>
      <c r="M264" s="99" t="s">
        <v>454</v>
      </c>
      <c r="N264" s="207"/>
      <c r="O264" s="207"/>
      <c r="P264" s="117"/>
      <c r="Q264" s="207"/>
    </row>
    <row r="265" spans="1:17" ht="14" x14ac:dyDescent="0.3">
      <c r="A265" s="100" t="s">
        <v>894</v>
      </c>
      <c r="B265" s="101" t="s">
        <v>867</v>
      </c>
      <c r="C265" s="87">
        <v>5360.3684999999996</v>
      </c>
      <c r="D265" s="293">
        <v>1393.6958099999999</v>
      </c>
      <c r="E265" s="294">
        <v>482.43316499999992</v>
      </c>
      <c r="F265" s="294">
        <v>3484.239525</v>
      </c>
      <c r="G265" s="295" t="s">
        <v>906</v>
      </c>
      <c r="H265" s="83">
        <f>C265*0.26</f>
        <v>1393.6958099999999</v>
      </c>
      <c r="I265" s="98">
        <f>C265*0.09</f>
        <v>482.43316499999992</v>
      </c>
      <c r="J265" s="84">
        <f>C265*0.65</f>
        <v>3484.239525</v>
      </c>
      <c r="K265" s="85"/>
      <c r="L265" s="86">
        <f t="shared" si="97"/>
        <v>3484.239525</v>
      </c>
      <c r="M265" s="99" t="s">
        <v>454</v>
      </c>
      <c r="N265" s="207"/>
      <c r="O265" s="207"/>
      <c r="P265" s="117"/>
      <c r="Q265" s="207"/>
    </row>
    <row r="266" spans="1:17" ht="14" x14ac:dyDescent="0.3">
      <c r="A266" s="100" t="s">
        <v>761</v>
      </c>
      <c r="B266" s="101" t="s">
        <v>370</v>
      </c>
      <c r="C266" s="87">
        <v>5176.5870000000004</v>
      </c>
      <c r="D266" s="293">
        <v>2329.4641500000002</v>
      </c>
      <c r="E266" s="294">
        <v>517.65870000000007</v>
      </c>
      <c r="F266" s="294">
        <v>2329.4641500000002</v>
      </c>
      <c r="G266" s="295"/>
      <c r="H266" s="83">
        <f t="shared" ref="H266:H274" si="113">C266*0.45</f>
        <v>2329.4641500000002</v>
      </c>
      <c r="I266" s="98">
        <f t="shared" ref="I266:I274" si="114">C266*0.1</f>
        <v>517.65870000000007</v>
      </c>
      <c r="J266" s="84">
        <f t="shared" ref="J266:J274" si="115">C266*0.45</f>
        <v>2329.4641500000002</v>
      </c>
      <c r="K266" s="85"/>
      <c r="L266" s="86">
        <f t="shared" si="97"/>
        <v>2329.4641500000002</v>
      </c>
      <c r="M266" s="99" t="s">
        <v>454</v>
      </c>
      <c r="N266" s="207"/>
      <c r="O266" s="207"/>
      <c r="P266" s="117"/>
      <c r="Q266" s="207"/>
    </row>
    <row r="267" spans="1:17" ht="14" x14ac:dyDescent="0.3">
      <c r="A267" s="100" t="s">
        <v>771</v>
      </c>
      <c r="B267" s="101" t="s">
        <v>772</v>
      </c>
      <c r="C267" s="87">
        <v>4920.4589999999998</v>
      </c>
      <c r="D267" s="293">
        <v>2214.2065499999999</v>
      </c>
      <c r="E267" s="294">
        <v>492.04590000000002</v>
      </c>
      <c r="F267" s="294">
        <v>2214.2065499999999</v>
      </c>
      <c r="G267" s="295"/>
      <c r="H267" s="83">
        <f t="shared" si="113"/>
        <v>2214.2065499999999</v>
      </c>
      <c r="I267" s="98">
        <f t="shared" si="114"/>
        <v>492.04590000000002</v>
      </c>
      <c r="J267" s="84">
        <f t="shared" si="115"/>
        <v>2214.2065499999999</v>
      </c>
      <c r="K267" s="85"/>
      <c r="L267" s="86">
        <f t="shared" si="97"/>
        <v>2214.2065499999999</v>
      </c>
      <c r="M267" s="99" t="s">
        <v>454</v>
      </c>
      <c r="N267" s="207"/>
      <c r="O267" s="207"/>
      <c r="P267" s="117"/>
      <c r="Q267" s="207"/>
    </row>
    <row r="268" spans="1:17" ht="14" x14ac:dyDescent="0.3">
      <c r="A268" s="100" t="s">
        <v>813</v>
      </c>
      <c r="B268" s="101" t="s">
        <v>814</v>
      </c>
      <c r="C268" s="87">
        <v>4234.116</v>
      </c>
      <c r="D268" s="293">
        <v>1905.3522</v>
      </c>
      <c r="E268" s="294">
        <v>423.41160000000002</v>
      </c>
      <c r="F268" s="294">
        <v>1905.3522</v>
      </c>
      <c r="G268" s="295"/>
      <c r="H268" s="83">
        <f t="shared" si="113"/>
        <v>1905.3522</v>
      </c>
      <c r="I268" s="98">
        <f t="shared" si="114"/>
        <v>423.41160000000002</v>
      </c>
      <c r="J268" s="84">
        <f t="shared" si="115"/>
        <v>1905.3522</v>
      </c>
      <c r="K268" s="85"/>
      <c r="L268" s="86">
        <f t="shared" si="97"/>
        <v>1905.3522</v>
      </c>
      <c r="M268" s="99" t="s">
        <v>454</v>
      </c>
      <c r="N268" s="207"/>
      <c r="O268" s="207"/>
      <c r="P268" s="117"/>
      <c r="Q268" s="207"/>
    </row>
    <row r="269" spans="1:17" ht="14" x14ac:dyDescent="0.3">
      <c r="A269" s="100" t="s">
        <v>869</v>
      </c>
      <c r="B269" s="101" t="s">
        <v>861</v>
      </c>
      <c r="C269" s="87">
        <v>4201.9965000000002</v>
      </c>
      <c r="D269" s="293">
        <v>1890.8984250000001</v>
      </c>
      <c r="E269" s="294">
        <v>420.19965000000002</v>
      </c>
      <c r="F269" s="294">
        <v>1890.8984250000001</v>
      </c>
      <c r="G269" s="295"/>
      <c r="H269" s="83">
        <f t="shared" si="113"/>
        <v>1890.8984250000001</v>
      </c>
      <c r="I269" s="98">
        <f t="shared" si="114"/>
        <v>420.19965000000002</v>
      </c>
      <c r="J269" s="84">
        <f t="shared" si="115"/>
        <v>1890.8984250000001</v>
      </c>
      <c r="K269" s="85"/>
      <c r="L269" s="86">
        <f t="shared" si="97"/>
        <v>1890.8984250000001</v>
      </c>
      <c r="M269" s="99" t="s">
        <v>454</v>
      </c>
      <c r="N269" s="207"/>
      <c r="O269" s="207"/>
      <c r="P269" s="117"/>
      <c r="Q269" s="207"/>
    </row>
    <row r="270" spans="1:17" ht="14" x14ac:dyDescent="0.3">
      <c r="A270" s="100" t="s">
        <v>809</v>
      </c>
      <c r="B270" s="101" t="s">
        <v>808</v>
      </c>
      <c r="C270" s="87">
        <v>3630.4234999999999</v>
      </c>
      <c r="D270" s="293">
        <v>1633.6905750000001</v>
      </c>
      <c r="E270" s="294">
        <v>363.04235</v>
      </c>
      <c r="F270" s="294">
        <v>1633.6905750000001</v>
      </c>
      <c r="G270" s="295"/>
      <c r="H270" s="83">
        <f t="shared" si="113"/>
        <v>1633.6905750000001</v>
      </c>
      <c r="I270" s="98">
        <f t="shared" si="114"/>
        <v>363.04235</v>
      </c>
      <c r="J270" s="84">
        <f t="shared" si="115"/>
        <v>1633.6905750000001</v>
      </c>
      <c r="K270" s="85"/>
      <c r="L270" s="86">
        <f t="shared" si="97"/>
        <v>1633.6905750000001</v>
      </c>
      <c r="M270" s="99" t="s">
        <v>454</v>
      </c>
      <c r="N270" s="207"/>
      <c r="O270" s="207"/>
      <c r="P270" s="117"/>
      <c r="Q270" s="207"/>
    </row>
    <row r="271" spans="1:17" ht="14" x14ac:dyDescent="0.3">
      <c r="A271" s="100" t="s">
        <v>822</v>
      </c>
      <c r="B271" s="101" t="s">
        <v>811</v>
      </c>
      <c r="C271" s="87">
        <v>3599.04</v>
      </c>
      <c r="D271" s="293">
        <v>1619.568</v>
      </c>
      <c r="E271" s="294">
        <v>359.904</v>
      </c>
      <c r="F271" s="294">
        <v>1619.568</v>
      </c>
      <c r="G271" s="295"/>
      <c r="H271" s="83">
        <f t="shared" si="113"/>
        <v>1619.568</v>
      </c>
      <c r="I271" s="98">
        <f t="shared" si="114"/>
        <v>359.904</v>
      </c>
      <c r="J271" s="84">
        <f t="shared" si="115"/>
        <v>1619.568</v>
      </c>
      <c r="K271" s="85"/>
      <c r="L271" s="86">
        <f t="shared" si="97"/>
        <v>1619.568</v>
      </c>
      <c r="M271" s="99" t="s">
        <v>454</v>
      </c>
      <c r="N271" s="207"/>
      <c r="O271" s="207"/>
      <c r="P271" s="117"/>
      <c r="Q271" s="207"/>
    </row>
    <row r="272" spans="1:17" ht="14" x14ac:dyDescent="0.3">
      <c r="A272" s="100" t="s">
        <v>766</v>
      </c>
      <c r="B272" s="101" t="s">
        <v>767</v>
      </c>
      <c r="C272" s="87">
        <v>3407.703</v>
      </c>
      <c r="D272" s="293">
        <v>1533.4663499999999</v>
      </c>
      <c r="E272" s="294">
        <v>340.77030000000002</v>
      </c>
      <c r="F272" s="294">
        <v>1533.4663499999999</v>
      </c>
      <c r="G272" s="295"/>
      <c r="H272" s="83">
        <f t="shared" si="113"/>
        <v>1533.4663499999999</v>
      </c>
      <c r="I272" s="98">
        <f t="shared" si="114"/>
        <v>340.77030000000002</v>
      </c>
      <c r="J272" s="84">
        <f t="shared" si="115"/>
        <v>1533.4663499999999</v>
      </c>
      <c r="K272" s="85"/>
      <c r="L272" s="86">
        <f t="shared" si="97"/>
        <v>1533.4663499999999</v>
      </c>
      <c r="M272" s="99" t="s">
        <v>454</v>
      </c>
      <c r="N272" s="207"/>
      <c r="O272" s="207"/>
      <c r="P272" s="117"/>
      <c r="Q272" s="207"/>
    </row>
    <row r="273" spans="1:17" ht="14" x14ac:dyDescent="0.3">
      <c r="A273" s="100" t="s">
        <v>773</v>
      </c>
      <c r="B273" s="101" t="s">
        <v>367</v>
      </c>
      <c r="C273" s="87">
        <v>3037.518</v>
      </c>
      <c r="D273" s="293">
        <v>1366.8831</v>
      </c>
      <c r="E273" s="294">
        <v>303.7518</v>
      </c>
      <c r="F273" s="294">
        <v>1366.8831</v>
      </c>
      <c r="G273" s="295"/>
      <c r="H273" s="83">
        <f t="shared" si="113"/>
        <v>1366.8831</v>
      </c>
      <c r="I273" s="98">
        <f t="shared" si="114"/>
        <v>303.7518</v>
      </c>
      <c r="J273" s="84">
        <f t="shared" si="115"/>
        <v>1366.8831</v>
      </c>
      <c r="K273" s="85"/>
      <c r="L273" s="86">
        <f t="shared" si="97"/>
        <v>1366.8831</v>
      </c>
      <c r="M273" s="99" t="s">
        <v>454</v>
      </c>
      <c r="N273" s="207"/>
      <c r="O273" s="207"/>
      <c r="P273" s="117"/>
      <c r="Q273" s="207"/>
    </row>
    <row r="274" spans="1:17" ht="14" x14ac:dyDescent="0.3">
      <c r="A274" s="100" t="s">
        <v>819</v>
      </c>
      <c r="B274" s="101" t="s">
        <v>811</v>
      </c>
      <c r="C274" s="87">
        <v>2925.1170000000002</v>
      </c>
      <c r="D274" s="293">
        <v>1316.3026500000001</v>
      </c>
      <c r="E274" s="294">
        <v>292.51170000000002</v>
      </c>
      <c r="F274" s="294">
        <v>1316.3026500000001</v>
      </c>
      <c r="G274" s="295"/>
      <c r="H274" s="83">
        <f t="shared" si="113"/>
        <v>1316.3026500000001</v>
      </c>
      <c r="I274" s="98">
        <f t="shared" si="114"/>
        <v>292.51170000000002</v>
      </c>
      <c r="J274" s="84">
        <f t="shared" si="115"/>
        <v>1316.3026500000001</v>
      </c>
      <c r="K274" s="85"/>
      <c r="L274" s="86">
        <f t="shared" si="97"/>
        <v>1316.3026500000001</v>
      </c>
      <c r="M274" s="99" t="s">
        <v>454</v>
      </c>
      <c r="N274" s="207"/>
      <c r="O274" s="207"/>
      <c r="P274" s="117"/>
      <c r="Q274" s="207"/>
    </row>
    <row r="275" spans="1:17" ht="14" x14ac:dyDescent="0.3">
      <c r="A275" s="100" t="s">
        <v>888</v>
      </c>
      <c r="B275" s="101" t="s">
        <v>867</v>
      </c>
      <c r="C275" s="87">
        <v>2900.116</v>
      </c>
      <c r="D275" s="293">
        <v>754.03016000000002</v>
      </c>
      <c r="E275" s="294">
        <v>261.01044000000002</v>
      </c>
      <c r="F275" s="294">
        <v>1885.0753999999999</v>
      </c>
      <c r="G275" s="295" t="s">
        <v>906</v>
      </c>
      <c r="H275" s="83">
        <f>C275*0.26</f>
        <v>754.03016000000002</v>
      </c>
      <c r="I275" s="98">
        <f>C275*0.09</f>
        <v>261.01044000000002</v>
      </c>
      <c r="J275" s="84">
        <f>C275*0.65</f>
        <v>1885.0753999999999</v>
      </c>
      <c r="K275" s="85"/>
      <c r="L275" s="86">
        <f t="shared" si="97"/>
        <v>1885.0753999999999</v>
      </c>
      <c r="M275" s="99" t="s">
        <v>454</v>
      </c>
      <c r="N275" s="207"/>
      <c r="O275" s="207"/>
      <c r="P275" s="117"/>
      <c r="Q275" s="207"/>
    </row>
    <row r="276" spans="1:17" ht="14" x14ac:dyDescent="0.3">
      <c r="A276" s="100" t="s">
        <v>754</v>
      </c>
      <c r="B276" s="101" t="s">
        <v>755</v>
      </c>
      <c r="C276" s="87">
        <v>2815.4070000000002</v>
      </c>
      <c r="D276" s="293">
        <v>1266.9331500000001</v>
      </c>
      <c r="E276" s="294">
        <v>281.54070000000002</v>
      </c>
      <c r="F276" s="294">
        <v>1266.9331500000001</v>
      </c>
      <c r="G276" s="295"/>
      <c r="H276" s="83">
        <f t="shared" ref="H276:H281" si="116">C276*0.45</f>
        <v>1266.9331500000001</v>
      </c>
      <c r="I276" s="98">
        <f t="shared" ref="I276:I281" si="117">C276*0.1</f>
        <v>281.54070000000002</v>
      </c>
      <c r="J276" s="84">
        <f t="shared" ref="J276:J281" si="118">C276*0.45</f>
        <v>1266.9331500000001</v>
      </c>
      <c r="K276" s="85"/>
      <c r="L276" s="86">
        <f t="shared" si="97"/>
        <v>1266.9331500000001</v>
      </c>
      <c r="M276" s="99" t="s">
        <v>454</v>
      </c>
      <c r="N276" s="207"/>
      <c r="O276" s="207"/>
      <c r="P276" s="117"/>
      <c r="Q276" s="207"/>
    </row>
    <row r="277" spans="1:17" ht="14" x14ac:dyDescent="0.3">
      <c r="A277" s="100" t="s">
        <v>873</v>
      </c>
      <c r="B277" s="101" t="s">
        <v>861</v>
      </c>
      <c r="C277" s="87">
        <v>2782.61</v>
      </c>
      <c r="D277" s="293">
        <v>1252.1745000000001</v>
      </c>
      <c r="E277" s="294">
        <v>278.26100000000002</v>
      </c>
      <c r="F277" s="294">
        <v>1252.1745000000001</v>
      </c>
      <c r="G277" s="295"/>
      <c r="H277" s="83">
        <f t="shared" si="116"/>
        <v>1252.1745000000001</v>
      </c>
      <c r="I277" s="98">
        <f t="shared" si="117"/>
        <v>278.26100000000002</v>
      </c>
      <c r="J277" s="84">
        <f t="shared" si="118"/>
        <v>1252.1745000000001</v>
      </c>
      <c r="K277" s="85"/>
      <c r="L277" s="86">
        <f t="shared" si="97"/>
        <v>1252.1745000000001</v>
      </c>
      <c r="M277" s="99" t="s">
        <v>454</v>
      </c>
      <c r="N277" s="207"/>
      <c r="O277" s="207"/>
      <c r="P277" s="117"/>
      <c r="Q277" s="207"/>
    </row>
    <row r="278" spans="1:17" ht="14" x14ac:dyDescent="0.3">
      <c r="A278" s="100" t="s">
        <v>812</v>
      </c>
      <c r="B278" s="101" t="s">
        <v>808</v>
      </c>
      <c r="C278" s="87">
        <v>2670.09</v>
      </c>
      <c r="D278" s="293">
        <v>1201.5405000000001</v>
      </c>
      <c r="E278" s="294">
        <v>267.00900000000001</v>
      </c>
      <c r="F278" s="294">
        <v>1201.5405000000001</v>
      </c>
      <c r="G278" s="295"/>
      <c r="H278" s="83">
        <f t="shared" si="116"/>
        <v>1201.5405000000001</v>
      </c>
      <c r="I278" s="98">
        <f t="shared" si="117"/>
        <v>267.00900000000001</v>
      </c>
      <c r="J278" s="84">
        <f t="shared" si="118"/>
        <v>1201.5405000000001</v>
      </c>
      <c r="K278" s="85"/>
      <c r="L278" s="86">
        <f t="shared" si="97"/>
        <v>1201.5405000000001</v>
      </c>
      <c r="M278" s="99" t="s">
        <v>454</v>
      </c>
      <c r="N278" s="207"/>
      <c r="O278" s="207"/>
      <c r="P278" s="117"/>
      <c r="Q278" s="207"/>
    </row>
    <row r="279" spans="1:17" ht="14" x14ac:dyDescent="0.3">
      <c r="A279" s="100" t="s">
        <v>823</v>
      </c>
      <c r="B279" s="101" t="s">
        <v>824</v>
      </c>
      <c r="C279" s="87">
        <v>2271.1350000000002</v>
      </c>
      <c r="D279" s="293">
        <v>1022.0107500000001</v>
      </c>
      <c r="E279" s="294">
        <v>227.11350000000004</v>
      </c>
      <c r="F279" s="294">
        <v>1022.0107500000001</v>
      </c>
      <c r="G279" s="295"/>
      <c r="H279" s="83">
        <f t="shared" si="116"/>
        <v>1022.0107500000001</v>
      </c>
      <c r="I279" s="98">
        <f t="shared" si="117"/>
        <v>227.11350000000004</v>
      </c>
      <c r="J279" s="84">
        <f t="shared" si="118"/>
        <v>1022.0107500000001</v>
      </c>
      <c r="K279" s="85"/>
      <c r="L279" s="86">
        <f t="shared" si="97"/>
        <v>1022.0107500000001</v>
      </c>
      <c r="M279" s="99" t="s">
        <v>454</v>
      </c>
      <c r="N279" s="207"/>
      <c r="O279" s="207"/>
      <c r="P279" s="117"/>
      <c r="Q279" s="207"/>
    </row>
    <row r="280" spans="1:17" ht="14" x14ac:dyDescent="0.3">
      <c r="A280" s="100" t="s">
        <v>868</v>
      </c>
      <c r="B280" s="101" t="s">
        <v>861</v>
      </c>
      <c r="C280" s="87">
        <v>2202.9960000000001</v>
      </c>
      <c r="D280" s="293">
        <v>991.34820000000002</v>
      </c>
      <c r="E280" s="294">
        <v>220.29960000000003</v>
      </c>
      <c r="F280" s="294">
        <v>991.34820000000002</v>
      </c>
      <c r="G280" s="295"/>
      <c r="H280" s="83">
        <f t="shared" si="116"/>
        <v>991.34820000000002</v>
      </c>
      <c r="I280" s="98">
        <f t="shared" si="117"/>
        <v>220.29960000000003</v>
      </c>
      <c r="J280" s="84">
        <f t="shared" si="118"/>
        <v>991.34820000000002</v>
      </c>
      <c r="K280" s="85"/>
      <c r="L280" s="86">
        <f t="shared" si="97"/>
        <v>991.34820000000002</v>
      </c>
      <c r="M280" s="99" t="s">
        <v>454</v>
      </c>
      <c r="N280" s="207"/>
      <c r="O280" s="207"/>
      <c r="P280" s="117"/>
      <c r="Q280" s="207"/>
    </row>
    <row r="281" spans="1:17" ht="14" x14ac:dyDescent="0.3">
      <c r="A281" s="100" t="s">
        <v>895</v>
      </c>
      <c r="B281" s="101" t="s">
        <v>896</v>
      </c>
      <c r="C281" s="87">
        <v>1962.981</v>
      </c>
      <c r="D281" s="293">
        <v>883.34145000000001</v>
      </c>
      <c r="E281" s="294">
        <v>196.29810000000001</v>
      </c>
      <c r="F281" s="294">
        <v>883.34145000000001</v>
      </c>
      <c r="G281" s="295"/>
      <c r="H281" s="83">
        <f t="shared" si="116"/>
        <v>883.34145000000001</v>
      </c>
      <c r="I281" s="98">
        <f t="shared" si="117"/>
        <v>196.29810000000001</v>
      </c>
      <c r="J281" s="84">
        <f t="shared" si="118"/>
        <v>883.34145000000001</v>
      </c>
      <c r="K281" s="85"/>
      <c r="L281" s="86">
        <f t="shared" si="97"/>
        <v>883.34145000000001</v>
      </c>
      <c r="M281" s="99" t="s">
        <v>454</v>
      </c>
      <c r="N281" s="207"/>
      <c r="O281" s="207"/>
      <c r="P281" s="117"/>
      <c r="Q281" s="207"/>
    </row>
    <row r="282" spans="1:17" ht="14" x14ac:dyDescent="0.3">
      <c r="A282" s="100" t="s">
        <v>770</v>
      </c>
      <c r="B282" s="101" t="s">
        <v>900</v>
      </c>
      <c r="C282" s="87">
        <v>1861.942</v>
      </c>
      <c r="D282" s="293">
        <v>716.84766999999999</v>
      </c>
      <c r="E282" s="294">
        <v>167.57478</v>
      </c>
      <c r="F282" s="294">
        <v>977.51955000000009</v>
      </c>
      <c r="G282" s="295" t="s">
        <v>853</v>
      </c>
      <c r="H282" s="83">
        <f>C282*0.385</f>
        <v>716.84766999999999</v>
      </c>
      <c r="I282" s="98">
        <f>C282*0.09</f>
        <v>167.57478</v>
      </c>
      <c r="J282" s="84">
        <f>C282*0.525</f>
        <v>977.51955000000009</v>
      </c>
      <c r="K282" s="85"/>
      <c r="L282" s="86">
        <f t="shared" si="97"/>
        <v>977.51955000000009</v>
      </c>
      <c r="M282" s="99" t="s">
        <v>454</v>
      </c>
      <c r="N282" s="207"/>
      <c r="O282" s="207"/>
      <c r="P282" s="117"/>
      <c r="Q282" s="207"/>
    </row>
    <row r="283" spans="1:17" ht="14" x14ac:dyDescent="0.3">
      <c r="A283" s="100" t="s">
        <v>776</v>
      </c>
      <c r="B283" s="101" t="s">
        <v>495</v>
      </c>
      <c r="C283" s="87">
        <v>1624.9939999999999</v>
      </c>
      <c r="D283" s="293">
        <v>381.87358999999998</v>
      </c>
      <c r="E283" s="294">
        <v>146.24946</v>
      </c>
      <c r="F283" s="294">
        <v>1096.87095</v>
      </c>
      <c r="G283" s="295" t="s">
        <v>858</v>
      </c>
      <c r="H283" s="83">
        <f>C283*0.235</f>
        <v>381.87358999999998</v>
      </c>
      <c r="I283" s="98">
        <f>C283*0.09</f>
        <v>146.24946</v>
      </c>
      <c r="J283" s="84">
        <f>C283*0.675</f>
        <v>1096.87095</v>
      </c>
      <c r="K283" s="85"/>
      <c r="L283" s="86">
        <f t="shared" si="97"/>
        <v>1096.87095</v>
      </c>
      <c r="M283" s="99" t="s">
        <v>454</v>
      </c>
      <c r="N283" s="207"/>
      <c r="O283" s="207"/>
      <c r="P283" s="117"/>
      <c r="Q283" s="207"/>
    </row>
    <row r="284" spans="1:17" ht="14" x14ac:dyDescent="0.3">
      <c r="A284" s="100" t="s">
        <v>871</v>
      </c>
      <c r="B284" s="101" t="s">
        <v>861</v>
      </c>
      <c r="C284" s="87">
        <v>1491.021</v>
      </c>
      <c r="D284" s="293">
        <v>670.95944999999995</v>
      </c>
      <c r="E284" s="294">
        <v>149.10210000000001</v>
      </c>
      <c r="F284" s="294">
        <v>670.95944999999995</v>
      </c>
      <c r="G284" s="295"/>
      <c r="H284" s="83">
        <f t="shared" ref="H284:H294" si="119">C284*0.45</f>
        <v>670.95944999999995</v>
      </c>
      <c r="I284" s="98">
        <f t="shared" ref="I284:I294" si="120">C284*0.1</f>
        <v>149.10210000000001</v>
      </c>
      <c r="J284" s="84">
        <f t="shared" ref="J284:J294" si="121">C284*0.45</f>
        <v>670.95944999999995</v>
      </c>
      <c r="K284" s="85"/>
      <c r="L284" s="86">
        <f t="shared" si="97"/>
        <v>670.95944999999995</v>
      </c>
      <c r="M284" s="99" t="s">
        <v>454</v>
      </c>
      <c r="N284" s="207"/>
      <c r="O284" s="207"/>
      <c r="P284" s="117"/>
      <c r="Q284" s="207"/>
    </row>
    <row r="285" spans="1:17" ht="14" x14ac:dyDescent="0.3">
      <c r="A285" s="100" t="s">
        <v>851</v>
      </c>
      <c r="B285" s="101" t="s">
        <v>861</v>
      </c>
      <c r="C285" s="87">
        <v>1354.3434999999999</v>
      </c>
      <c r="D285" s="293">
        <v>609.45457499999998</v>
      </c>
      <c r="E285" s="294">
        <v>135.43434999999999</v>
      </c>
      <c r="F285" s="294">
        <v>609.45457499999998</v>
      </c>
      <c r="G285" s="295"/>
      <c r="H285" s="83">
        <f t="shared" si="119"/>
        <v>609.45457499999998</v>
      </c>
      <c r="I285" s="98">
        <f t="shared" si="120"/>
        <v>135.43434999999999</v>
      </c>
      <c r="J285" s="84">
        <f t="shared" si="121"/>
        <v>609.45457499999998</v>
      </c>
      <c r="K285" s="85"/>
      <c r="L285" s="86">
        <f t="shared" si="97"/>
        <v>609.45457499999998</v>
      </c>
      <c r="M285" s="99" t="s">
        <v>454</v>
      </c>
      <c r="N285" s="207"/>
      <c r="O285" s="207"/>
      <c r="P285" s="117"/>
      <c r="Q285" s="207"/>
    </row>
    <row r="286" spans="1:17" ht="14" x14ac:dyDescent="0.3">
      <c r="A286" s="100" t="s">
        <v>777</v>
      </c>
      <c r="B286" s="101" t="s">
        <v>907</v>
      </c>
      <c r="C286" s="87">
        <v>1162.5809999999999</v>
      </c>
      <c r="D286" s="293">
        <v>523.16144999999995</v>
      </c>
      <c r="E286" s="294">
        <v>116.2581</v>
      </c>
      <c r="F286" s="294">
        <v>523.16144999999995</v>
      </c>
      <c r="G286" s="295"/>
      <c r="H286" s="83">
        <f t="shared" si="119"/>
        <v>523.16144999999995</v>
      </c>
      <c r="I286" s="98">
        <f t="shared" si="120"/>
        <v>116.2581</v>
      </c>
      <c r="J286" s="84">
        <f t="shared" si="121"/>
        <v>523.16144999999995</v>
      </c>
      <c r="K286" s="85"/>
      <c r="L286" s="86">
        <f t="shared" si="97"/>
        <v>523.16144999999995</v>
      </c>
      <c r="M286" s="99" t="s">
        <v>454</v>
      </c>
      <c r="N286" s="207"/>
      <c r="O286" s="207"/>
      <c r="P286" s="117"/>
      <c r="Q286" s="207"/>
    </row>
    <row r="287" spans="1:17" ht="14" x14ac:dyDescent="0.3">
      <c r="A287" s="100" t="s">
        <v>842</v>
      </c>
      <c r="B287" s="101" t="s">
        <v>843</v>
      </c>
      <c r="C287" s="87">
        <v>814.40700000000004</v>
      </c>
      <c r="D287" s="293">
        <v>366.48315000000002</v>
      </c>
      <c r="E287" s="294">
        <v>81.440700000000007</v>
      </c>
      <c r="F287" s="294">
        <v>366.48315000000002</v>
      </c>
      <c r="G287" s="295"/>
      <c r="H287" s="83">
        <f t="shared" si="119"/>
        <v>366.48315000000002</v>
      </c>
      <c r="I287" s="98">
        <f t="shared" si="120"/>
        <v>81.440700000000007</v>
      </c>
      <c r="J287" s="84">
        <f t="shared" si="121"/>
        <v>366.48315000000002</v>
      </c>
      <c r="K287" s="85"/>
      <c r="L287" s="86">
        <f t="shared" si="97"/>
        <v>366.48315000000002</v>
      </c>
      <c r="M287" s="99" t="s">
        <v>454</v>
      </c>
      <c r="N287" s="207"/>
      <c r="O287" s="207"/>
      <c r="P287" s="117"/>
      <c r="Q287" s="207"/>
    </row>
    <row r="288" spans="1:17" ht="14" x14ac:dyDescent="0.3">
      <c r="A288" s="100" t="s">
        <v>778</v>
      </c>
      <c r="B288" s="101" t="s">
        <v>779</v>
      </c>
      <c r="C288" s="87">
        <v>794.39700000000005</v>
      </c>
      <c r="D288" s="293">
        <v>357.47865000000002</v>
      </c>
      <c r="E288" s="294">
        <v>79.439700000000016</v>
      </c>
      <c r="F288" s="294">
        <v>357.47865000000002</v>
      </c>
      <c r="G288" s="295"/>
      <c r="H288" s="83">
        <f t="shared" si="119"/>
        <v>357.47865000000002</v>
      </c>
      <c r="I288" s="98">
        <f t="shared" si="120"/>
        <v>79.439700000000016</v>
      </c>
      <c r="J288" s="84">
        <f t="shared" si="121"/>
        <v>357.47865000000002</v>
      </c>
      <c r="K288" s="85"/>
      <c r="L288" s="86">
        <f t="shared" si="97"/>
        <v>357.47865000000002</v>
      </c>
      <c r="M288" s="99" t="s">
        <v>454</v>
      </c>
      <c r="N288" s="207"/>
      <c r="O288" s="207"/>
      <c r="P288" s="117"/>
      <c r="Q288" s="207"/>
    </row>
    <row r="289" spans="1:17" ht="14" x14ac:dyDescent="0.3">
      <c r="A289" s="100" t="s">
        <v>872</v>
      </c>
      <c r="B289" s="101" t="s">
        <v>861</v>
      </c>
      <c r="C289" s="87">
        <v>690.11500000000001</v>
      </c>
      <c r="D289" s="293">
        <v>310.55175000000003</v>
      </c>
      <c r="E289" s="294">
        <v>69.011499999999998</v>
      </c>
      <c r="F289" s="294">
        <v>310.55175000000003</v>
      </c>
      <c r="G289" s="295"/>
      <c r="H289" s="83">
        <f t="shared" si="119"/>
        <v>310.55175000000003</v>
      </c>
      <c r="I289" s="98">
        <f t="shared" si="120"/>
        <v>69.011499999999998</v>
      </c>
      <c r="J289" s="84">
        <f t="shared" si="121"/>
        <v>310.55175000000003</v>
      </c>
      <c r="K289" s="85"/>
      <c r="L289" s="86">
        <f t="shared" si="97"/>
        <v>310.55175000000003</v>
      </c>
      <c r="M289" s="99" t="s">
        <v>454</v>
      </c>
      <c r="N289" s="207"/>
      <c r="O289" s="207"/>
      <c r="P289" s="117"/>
      <c r="Q289" s="207"/>
    </row>
    <row r="290" spans="1:17" ht="14" x14ac:dyDescent="0.3">
      <c r="A290" s="100" t="s">
        <v>780</v>
      </c>
      <c r="B290" s="101" t="s">
        <v>781</v>
      </c>
      <c r="C290" s="87">
        <v>542.27099999999996</v>
      </c>
      <c r="D290" s="293">
        <v>244.02194999999998</v>
      </c>
      <c r="E290" s="294">
        <v>54.2271</v>
      </c>
      <c r="F290" s="294">
        <v>244.02194999999998</v>
      </c>
      <c r="G290" s="295"/>
      <c r="H290" s="83">
        <f t="shared" si="119"/>
        <v>244.02194999999998</v>
      </c>
      <c r="I290" s="98">
        <f t="shared" si="120"/>
        <v>54.2271</v>
      </c>
      <c r="J290" s="84">
        <f t="shared" si="121"/>
        <v>244.02194999999998</v>
      </c>
      <c r="K290" s="85"/>
      <c r="L290" s="86">
        <f t="shared" si="97"/>
        <v>244.02194999999998</v>
      </c>
      <c r="M290" s="99" t="s">
        <v>454</v>
      </c>
      <c r="N290" s="207"/>
      <c r="O290" s="207"/>
      <c r="P290" s="117"/>
      <c r="Q290" s="207"/>
    </row>
    <row r="291" spans="1:17" ht="14" x14ac:dyDescent="0.3">
      <c r="A291" s="100" t="s">
        <v>897</v>
      </c>
      <c r="B291" s="101" t="s">
        <v>898</v>
      </c>
      <c r="C291" s="87">
        <v>502.25099999999998</v>
      </c>
      <c r="D291" s="293">
        <v>226.01294999999999</v>
      </c>
      <c r="E291" s="294">
        <v>50.225099999999998</v>
      </c>
      <c r="F291" s="294">
        <v>226.01294999999999</v>
      </c>
      <c r="G291" s="295"/>
      <c r="H291" s="83">
        <f t="shared" si="119"/>
        <v>226.01294999999999</v>
      </c>
      <c r="I291" s="98">
        <f t="shared" si="120"/>
        <v>50.225099999999998</v>
      </c>
      <c r="J291" s="84">
        <f t="shared" si="121"/>
        <v>226.01294999999999</v>
      </c>
      <c r="K291" s="85"/>
      <c r="L291" s="86">
        <f t="shared" si="97"/>
        <v>226.01294999999999</v>
      </c>
      <c r="M291" s="99" t="s">
        <v>454</v>
      </c>
      <c r="N291" s="207"/>
      <c r="O291" s="207"/>
      <c r="P291" s="117"/>
      <c r="Q291" s="207"/>
    </row>
    <row r="292" spans="1:17" ht="14" x14ac:dyDescent="0.3">
      <c r="A292" s="100" t="s">
        <v>884</v>
      </c>
      <c r="B292" s="101" t="s">
        <v>312</v>
      </c>
      <c r="C292" s="87">
        <v>496.24799999999999</v>
      </c>
      <c r="D292" s="293">
        <v>223.3116</v>
      </c>
      <c r="E292" s="294">
        <v>49.6248</v>
      </c>
      <c r="F292" s="294">
        <v>223.3116</v>
      </c>
      <c r="G292" s="295"/>
      <c r="H292" s="83">
        <f t="shared" si="119"/>
        <v>223.3116</v>
      </c>
      <c r="I292" s="98">
        <f t="shared" si="120"/>
        <v>49.6248</v>
      </c>
      <c r="J292" s="84">
        <f t="shared" si="121"/>
        <v>223.3116</v>
      </c>
      <c r="K292" s="85"/>
      <c r="L292" s="86">
        <f t="shared" si="97"/>
        <v>223.3116</v>
      </c>
      <c r="M292" s="99" t="s">
        <v>454</v>
      </c>
      <c r="N292" s="207"/>
      <c r="O292" s="207"/>
      <c r="P292" s="117"/>
      <c r="Q292" s="207"/>
    </row>
    <row r="293" spans="1:17" ht="14" x14ac:dyDescent="0.3">
      <c r="A293" s="100" t="s">
        <v>862</v>
      </c>
      <c r="B293" s="101" t="s">
        <v>863</v>
      </c>
      <c r="C293" s="87">
        <v>403.65</v>
      </c>
      <c r="D293" s="293">
        <v>181.64249999999998</v>
      </c>
      <c r="E293" s="294">
        <v>40.365000000000002</v>
      </c>
      <c r="F293" s="294">
        <v>181.64249999999998</v>
      </c>
      <c r="G293" s="295"/>
      <c r="H293" s="83">
        <f t="shared" si="119"/>
        <v>181.64249999999998</v>
      </c>
      <c r="I293" s="98">
        <f t="shared" si="120"/>
        <v>40.365000000000002</v>
      </c>
      <c r="J293" s="84">
        <f t="shared" si="121"/>
        <v>181.64249999999998</v>
      </c>
      <c r="K293" s="85"/>
      <c r="L293" s="86">
        <f t="shared" si="97"/>
        <v>181.64249999999998</v>
      </c>
      <c r="M293" s="99" t="s">
        <v>454</v>
      </c>
      <c r="N293" s="207"/>
      <c r="O293" s="207"/>
      <c r="P293" s="117"/>
      <c r="Q293" s="207"/>
    </row>
    <row r="294" spans="1:17" ht="14" x14ac:dyDescent="0.3">
      <c r="A294" s="100" t="s">
        <v>782</v>
      </c>
      <c r="B294" s="101" t="s">
        <v>316</v>
      </c>
      <c r="C294" s="87">
        <v>364.18200000000002</v>
      </c>
      <c r="D294" s="293">
        <v>163.8819</v>
      </c>
      <c r="E294" s="294">
        <v>36.418200000000006</v>
      </c>
      <c r="F294" s="294">
        <v>163.8819</v>
      </c>
      <c r="G294" s="295"/>
      <c r="H294" s="83">
        <f t="shared" si="119"/>
        <v>163.8819</v>
      </c>
      <c r="I294" s="98">
        <f t="shared" si="120"/>
        <v>36.418200000000006</v>
      </c>
      <c r="J294" s="84">
        <f t="shared" si="121"/>
        <v>163.8819</v>
      </c>
      <c r="K294" s="85"/>
      <c r="L294" s="86">
        <f t="shared" si="97"/>
        <v>163.8819</v>
      </c>
      <c r="M294" s="99" t="s">
        <v>454</v>
      </c>
      <c r="N294" s="207"/>
      <c r="O294" s="207"/>
      <c r="P294" s="117"/>
      <c r="Q294" s="207"/>
    </row>
    <row r="295" spans="1:17" ht="14" x14ac:dyDescent="0.3">
      <c r="A295" s="100" t="s">
        <v>891</v>
      </c>
      <c r="B295" s="101" t="s">
        <v>902</v>
      </c>
      <c r="C295" s="87">
        <v>205.01</v>
      </c>
      <c r="D295" s="293">
        <v>63.553099999999993</v>
      </c>
      <c r="E295" s="294">
        <v>18.450899999999997</v>
      </c>
      <c r="F295" s="294">
        <v>123.00599999999999</v>
      </c>
      <c r="G295" s="295" t="s">
        <v>855</v>
      </c>
      <c r="H295" s="83">
        <f>C295*0.31</f>
        <v>63.553099999999993</v>
      </c>
      <c r="I295" s="98">
        <f>C295*0.09</f>
        <v>18.450899999999997</v>
      </c>
      <c r="J295" s="84">
        <f>C295*0.6</f>
        <v>123.00599999999999</v>
      </c>
      <c r="K295" s="85"/>
      <c r="L295" s="86">
        <f t="shared" si="97"/>
        <v>123.00599999999999</v>
      </c>
      <c r="M295" s="99" t="s">
        <v>454</v>
      </c>
      <c r="N295" s="207"/>
      <c r="O295" s="207"/>
      <c r="P295" s="117"/>
      <c r="Q295" s="207"/>
    </row>
    <row r="296" spans="1:17" ht="14" x14ac:dyDescent="0.3">
      <c r="A296" s="100" t="s">
        <v>783</v>
      </c>
      <c r="B296" s="101" t="s">
        <v>784</v>
      </c>
      <c r="C296" s="87">
        <v>198.09450000000001</v>
      </c>
      <c r="D296" s="293">
        <v>89.142525000000006</v>
      </c>
      <c r="E296" s="294">
        <v>19.809450000000002</v>
      </c>
      <c r="F296" s="294">
        <v>89.142525000000006</v>
      </c>
      <c r="G296" s="295"/>
      <c r="H296" s="83">
        <f t="shared" ref="H296:H299" si="122">C296*0.45</f>
        <v>89.142525000000006</v>
      </c>
      <c r="I296" s="98">
        <f t="shared" ref="I296:I299" si="123">C296*0.1</f>
        <v>19.809450000000002</v>
      </c>
      <c r="J296" s="84">
        <f t="shared" ref="J296:J299" si="124">C296*0.45</f>
        <v>89.142525000000006</v>
      </c>
      <c r="K296" s="85"/>
      <c r="L296" s="86">
        <f t="shared" si="97"/>
        <v>89.142525000000006</v>
      </c>
      <c r="M296" s="99" t="s">
        <v>454</v>
      </c>
      <c r="N296" s="207"/>
      <c r="O296" s="207"/>
      <c r="P296" s="117"/>
      <c r="Q296" s="207"/>
    </row>
    <row r="297" spans="1:17" ht="14" x14ac:dyDescent="0.3">
      <c r="A297" s="100" t="s">
        <v>815</v>
      </c>
      <c r="B297" s="101" t="s">
        <v>816</v>
      </c>
      <c r="C297" s="87">
        <v>194.09700000000001</v>
      </c>
      <c r="D297" s="293">
        <v>87.343650000000011</v>
      </c>
      <c r="E297" s="294">
        <v>19.409700000000001</v>
      </c>
      <c r="F297" s="294">
        <v>87.343650000000011</v>
      </c>
      <c r="G297" s="295"/>
      <c r="H297" s="83">
        <f t="shared" si="122"/>
        <v>87.343650000000011</v>
      </c>
      <c r="I297" s="98">
        <f t="shared" si="123"/>
        <v>19.409700000000001</v>
      </c>
      <c r="J297" s="84">
        <f t="shared" si="124"/>
        <v>87.343650000000011</v>
      </c>
      <c r="K297" s="85"/>
      <c r="L297" s="86">
        <f t="shared" si="97"/>
        <v>87.343650000000011</v>
      </c>
      <c r="M297" s="99" t="s">
        <v>454</v>
      </c>
      <c r="N297" s="207"/>
      <c r="O297" s="207"/>
      <c r="P297" s="117"/>
      <c r="Q297" s="207"/>
    </row>
    <row r="298" spans="1:17" ht="14" x14ac:dyDescent="0.3">
      <c r="A298" s="100" t="s">
        <v>794</v>
      </c>
      <c r="B298" s="101" t="s">
        <v>795</v>
      </c>
      <c r="C298" s="87">
        <v>180.02099999999999</v>
      </c>
      <c r="D298" s="293">
        <v>81.009450000000001</v>
      </c>
      <c r="E298" s="294">
        <v>18.002099999999999</v>
      </c>
      <c r="F298" s="294">
        <v>81.009450000000001</v>
      </c>
      <c r="G298" s="295"/>
      <c r="H298" s="83">
        <f t="shared" si="122"/>
        <v>81.009450000000001</v>
      </c>
      <c r="I298" s="98">
        <f t="shared" si="123"/>
        <v>18.002099999999999</v>
      </c>
      <c r="J298" s="84">
        <f t="shared" si="124"/>
        <v>81.009450000000001</v>
      </c>
      <c r="K298" s="85"/>
      <c r="L298" s="86">
        <f t="shared" si="97"/>
        <v>81.009450000000001</v>
      </c>
      <c r="M298" s="99" t="s">
        <v>454</v>
      </c>
      <c r="N298" s="207"/>
      <c r="O298" s="207"/>
      <c r="P298" s="117"/>
      <c r="Q298" s="207"/>
    </row>
    <row r="299" spans="1:17" ht="14" x14ac:dyDescent="0.3">
      <c r="A299" s="100" t="s">
        <v>875</v>
      </c>
      <c r="B299" s="101" t="s">
        <v>876</v>
      </c>
      <c r="C299" s="87">
        <v>171.01650000000001</v>
      </c>
      <c r="D299" s="293">
        <v>76.957425000000001</v>
      </c>
      <c r="E299" s="294">
        <v>17.101650000000003</v>
      </c>
      <c r="F299" s="294">
        <v>76.957425000000001</v>
      </c>
      <c r="G299" s="295"/>
      <c r="H299" s="83">
        <f t="shared" si="122"/>
        <v>76.957425000000001</v>
      </c>
      <c r="I299" s="98">
        <f t="shared" si="123"/>
        <v>17.101650000000003</v>
      </c>
      <c r="J299" s="84">
        <f t="shared" si="124"/>
        <v>76.957425000000001</v>
      </c>
      <c r="K299" s="85"/>
      <c r="L299" s="86">
        <f t="shared" si="97"/>
        <v>76.957425000000001</v>
      </c>
      <c r="M299" s="99" t="s">
        <v>454</v>
      </c>
      <c r="N299" s="207"/>
      <c r="O299" s="207"/>
      <c r="P299" s="117"/>
      <c r="Q299" s="207"/>
    </row>
    <row r="300" spans="1:17" ht="14" x14ac:dyDescent="0.3">
      <c r="A300" s="100" t="s">
        <v>787</v>
      </c>
      <c r="B300" s="101" t="s">
        <v>313</v>
      </c>
      <c r="C300" s="87">
        <v>153.00149999999999</v>
      </c>
      <c r="D300" s="293">
        <v>0</v>
      </c>
      <c r="E300" s="294">
        <v>0</v>
      </c>
      <c r="F300" s="294">
        <v>153.00149999999999</v>
      </c>
      <c r="G300" s="295" t="s">
        <v>14</v>
      </c>
      <c r="H300" s="83">
        <f>C300*0</f>
        <v>0</v>
      </c>
      <c r="I300" s="98">
        <f>C300*0</f>
        <v>0</v>
      </c>
      <c r="J300" s="84">
        <f>C300*1</f>
        <v>153.00149999999999</v>
      </c>
      <c r="K300" s="85"/>
      <c r="L300" s="86">
        <f t="shared" si="97"/>
        <v>153.00149999999999</v>
      </c>
      <c r="M300" s="99" t="s">
        <v>454</v>
      </c>
      <c r="N300" s="207"/>
      <c r="O300" s="207"/>
      <c r="P300" s="117"/>
      <c r="Q300" s="207"/>
    </row>
    <row r="301" spans="1:17" ht="14" x14ac:dyDescent="0.3">
      <c r="A301" s="100" t="s">
        <v>844</v>
      </c>
      <c r="B301" s="101" t="s">
        <v>845</v>
      </c>
      <c r="C301" s="87">
        <v>140.07</v>
      </c>
      <c r="D301" s="293">
        <v>63.031500000000001</v>
      </c>
      <c r="E301" s="294">
        <v>14.007</v>
      </c>
      <c r="F301" s="294">
        <v>63.031500000000001</v>
      </c>
      <c r="G301" s="295"/>
      <c r="H301" s="83">
        <f t="shared" ref="H301:H309" si="125">C301*0.45</f>
        <v>63.031500000000001</v>
      </c>
      <c r="I301" s="98">
        <f t="shared" ref="I301:I309" si="126">C301*0.1</f>
        <v>14.007</v>
      </c>
      <c r="J301" s="84">
        <f t="shared" ref="J301:J309" si="127">C301*0.45</f>
        <v>63.031500000000001</v>
      </c>
      <c r="K301" s="85"/>
      <c r="L301" s="86">
        <f t="shared" si="97"/>
        <v>63.031500000000001</v>
      </c>
      <c r="M301" s="99" t="s">
        <v>454</v>
      </c>
      <c r="N301" s="207"/>
      <c r="O301" s="207"/>
      <c r="P301" s="117"/>
      <c r="Q301" s="207"/>
    </row>
    <row r="302" spans="1:17" ht="14" x14ac:dyDescent="0.3">
      <c r="A302" s="100" t="s">
        <v>796</v>
      </c>
      <c r="B302" s="101" t="s">
        <v>797</v>
      </c>
      <c r="C302" s="87">
        <v>126.063</v>
      </c>
      <c r="D302" s="293">
        <v>56.728349999999999</v>
      </c>
      <c r="E302" s="294">
        <v>12.606300000000001</v>
      </c>
      <c r="F302" s="294">
        <v>56.728349999999999</v>
      </c>
      <c r="G302" s="295"/>
      <c r="H302" s="83">
        <f t="shared" si="125"/>
        <v>56.728349999999999</v>
      </c>
      <c r="I302" s="98">
        <f t="shared" si="126"/>
        <v>12.606300000000001</v>
      </c>
      <c r="J302" s="84">
        <f t="shared" si="127"/>
        <v>56.728349999999999</v>
      </c>
      <c r="K302" s="85"/>
      <c r="L302" s="86">
        <f t="shared" si="97"/>
        <v>56.728349999999999</v>
      </c>
      <c r="M302" s="99" t="s">
        <v>454</v>
      </c>
      <c r="N302" s="207"/>
      <c r="O302" s="207"/>
      <c r="P302" s="117"/>
      <c r="Q302" s="207"/>
    </row>
    <row r="303" spans="1:17" ht="14" x14ac:dyDescent="0.3">
      <c r="A303" s="100" t="s">
        <v>817</v>
      </c>
      <c r="B303" s="101" t="s">
        <v>818</v>
      </c>
      <c r="C303" s="87">
        <v>104.05200000000001</v>
      </c>
      <c r="D303" s="293">
        <v>46.823400000000007</v>
      </c>
      <c r="E303" s="294">
        <v>10.405200000000001</v>
      </c>
      <c r="F303" s="294">
        <v>46.823400000000007</v>
      </c>
      <c r="G303" s="295"/>
      <c r="H303" s="83">
        <f t="shared" si="125"/>
        <v>46.823400000000007</v>
      </c>
      <c r="I303" s="98">
        <f t="shared" si="126"/>
        <v>10.405200000000001</v>
      </c>
      <c r="J303" s="84">
        <f t="shared" si="127"/>
        <v>46.823400000000007</v>
      </c>
      <c r="K303" s="85"/>
      <c r="L303" s="86">
        <f t="shared" si="97"/>
        <v>46.823400000000007</v>
      </c>
      <c r="M303" s="99" t="s">
        <v>454</v>
      </c>
      <c r="N303" s="207"/>
      <c r="O303" s="207"/>
      <c r="P303" s="117"/>
      <c r="Q303" s="207"/>
    </row>
    <row r="304" spans="1:17" ht="14" x14ac:dyDescent="0.3">
      <c r="A304" s="100" t="s">
        <v>800</v>
      </c>
      <c r="B304" s="101" t="s">
        <v>801</v>
      </c>
      <c r="C304" s="87">
        <v>104.05200000000001</v>
      </c>
      <c r="D304" s="293">
        <v>46.823400000000007</v>
      </c>
      <c r="E304" s="294">
        <v>10.405200000000001</v>
      </c>
      <c r="F304" s="294">
        <v>46.823400000000007</v>
      </c>
      <c r="G304" s="295"/>
      <c r="H304" s="83">
        <f t="shared" si="125"/>
        <v>46.823400000000007</v>
      </c>
      <c r="I304" s="98">
        <f t="shared" si="126"/>
        <v>10.405200000000001</v>
      </c>
      <c r="J304" s="84">
        <f t="shared" si="127"/>
        <v>46.823400000000007</v>
      </c>
      <c r="K304" s="85"/>
      <c r="L304" s="86">
        <f t="shared" si="97"/>
        <v>46.823400000000007</v>
      </c>
      <c r="M304" s="99" t="s">
        <v>454</v>
      </c>
      <c r="N304" s="207"/>
      <c r="O304" s="207"/>
      <c r="P304" s="117"/>
      <c r="Q304" s="207"/>
    </row>
    <row r="305" spans="1:17" ht="14" x14ac:dyDescent="0.3">
      <c r="A305" s="100" t="s">
        <v>774</v>
      </c>
      <c r="B305" s="101" t="s">
        <v>775</v>
      </c>
      <c r="C305" s="87">
        <v>96.037999999999997</v>
      </c>
      <c r="D305" s="293">
        <v>43.217100000000002</v>
      </c>
      <c r="E305" s="294">
        <v>9.6037999999999997</v>
      </c>
      <c r="F305" s="294">
        <v>43.217100000000002</v>
      </c>
      <c r="G305" s="295"/>
      <c r="H305" s="83">
        <f t="shared" si="125"/>
        <v>43.217100000000002</v>
      </c>
      <c r="I305" s="98">
        <f t="shared" si="126"/>
        <v>9.6037999999999997</v>
      </c>
      <c r="J305" s="84">
        <f t="shared" si="127"/>
        <v>43.217100000000002</v>
      </c>
      <c r="K305" s="85"/>
      <c r="L305" s="86">
        <f t="shared" ref="L305:L326" si="128">J305-K305</f>
        <v>43.217100000000002</v>
      </c>
      <c r="M305" s="99" t="s">
        <v>454</v>
      </c>
      <c r="N305" s="207"/>
      <c r="O305" s="207"/>
      <c r="P305" s="117"/>
      <c r="Q305" s="207"/>
    </row>
    <row r="306" spans="1:17" ht="14" x14ac:dyDescent="0.3">
      <c r="A306" s="100" t="s">
        <v>825</v>
      </c>
      <c r="B306" s="101" t="s">
        <v>826</v>
      </c>
      <c r="C306" s="87">
        <v>92.046000000000006</v>
      </c>
      <c r="D306" s="293">
        <v>41.420700000000004</v>
      </c>
      <c r="E306" s="294">
        <v>9.204600000000001</v>
      </c>
      <c r="F306" s="294">
        <v>41.420700000000004</v>
      </c>
      <c r="G306" s="295"/>
      <c r="H306" s="83">
        <f t="shared" si="125"/>
        <v>41.420700000000004</v>
      </c>
      <c r="I306" s="98">
        <f t="shared" si="126"/>
        <v>9.204600000000001</v>
      </c>
      <c r="J306" s="84">
        <f t="shared" si="127"/>
        <v>41.420700000000004</v>
      </c>
      <c r="K306" s="85"/>
      <c r="L306" s="86">
        <f t="shared" si="128"/>
        <v>41.420700000000004</v>
      </c>
      <c r="M306" s="99" t="s">
        <v>454</v>
      </c>
      <c r="N306" s="207"/>
      <c r="O306" s="207"/>
      <c r="P306" s="117"/>
      <c r="Q306" s="207"/>
    </row>
    <row r="307" spans="1:17" s="105" customFormat="1" ht="14" customHeight="1" x14ac:dyDescent="0.3">
      <c r="A307" s="100" t="s">
        <v>793</v>
      </c>
      <c r="B307" s="118" t="s">
        <v>767</v>
      </c>
      <c r="C307" s="87">
        <v>70</v>
      </c>
      <c r="D307" s="299">
        <v>31.5</v>
      </c>
      <c r="E307" s="300">
        <v>7</v>
      </c>
      <c r="F307" s="300">
        <v>31.5</v>
      </c>
      <c r="G307" s="301"/>
      <c r="H307" s="83">
        <f t="shared" si="125"/>
        <v>31.5</v>
      </c>
      <c r="I307" s="98">
        <f t="shared" si="126"/>
        <v>7</v>
      </c>
      <c r="J307" s="84">
        <f t="shared" si="127"/>
        <v>31.5</v>
      </c>
      <c r="K307" s="85"/>
      <c r="L307" s="86">
        <f t="shared" si="128"/>
        <v>31.5</v>
      </c>
      <c r="M307" s="99" t="s">
        <v>454</v>
      </c>
      <c r="N307" s="207"/>
      <c r="O307" s="207"/>
      <c r="P307" s="117"/>
      <c r="Q307" s="207"/>
    </row>
    <row r="308" spans="1:17" ht="14" x14ac:dyDescent="0.3">
      <c r="A308" s="100" t="s">
        <v>791</v>
      </c>
      <c r="B308" s="101" t="s">
        <v>792</v>
      </c>
      <c r="C308" s="87">
        <v>62.030999999999999</v>
      </c>
      <c r="D308" s="293">
        <v>27.91395</v>
      </c>
      <c r="E308" s="294">
        <v>6.2031000000000001</v>
      </c>
      <c r="F308" s="294">
        <v>27.91395</v>
      </c>
      <c r="G308" s="295"/>
      <c r="H308" s="83">
        <f t="shared" si="125"/>
        <v>27.91395</v>
      </c>
      <c r="I308" s="98">
        <f t="shared" si="126"/>
        <v>6.2031000000000001</v>
      </c>
      <c r="J308" s="84">
        <f t="shared" si="127"/>
        <v>27.91395</v>
      </c>
      <c r="K308" s="85"/>
      <c r="L308" s="86">
        <f t="shared" si="128"/>
        <v>27.91395</v>
      </c>
      <c r="M308" s="99" t="s">
        <v>454</v>
      </c>
      <c r="N308" s="207"/>
      <c r="O308" s="207"/>
      <c r="P308" s="117"/>
      <c r="Q308" s="207"/>
    </row>
    <row r="309" spans="1:17" ht="14" x14ac:dyDescent="0.3">
      <c r="A309" s="100" t="s">
        <v>885</v>
      </c>
      <c r="B309" s="101" t="s">
        <v>886</v>
      </c>
      <c r="C309" s="87">
        <v>55.027500000000003</v>
      </c>
      <c r="D309" s="293">
        <v>24.762375000000002</v>
      </c>
      <c r="E309" s="294">
        <v>5.5027500000000007</v>
      </c>
      <c r="F309" s="294">
        <v>24.762375000000002</v>
      </c>
      <c r="G309" s="295"/>
      <c r="H309" s="83">
        <f t="shared" si="125"/>
        <v>24.762375000000002</v>
      </c>
      <c r="I309" s="98">
        <f t="shared" si="126"/>
        <v>5.5027500000000007</v>
      </c>
      <c r="J309" s="84">
        <f t="shared" si="127"/>
        <v>24.762375000000002</v>
      </c>
      <c r="K309" s="85"/>
      <c r="L309" s="86">
        <f t="shared" si="128"/>
        <v>24.762375000000002</v>
      </c>
      <c r="M309" s="99" t="s">
        <v>454</v>
      </c>
      <c r="N309" s="207"/>
      <c r="O309" s="207"/>
      <c r="P309" s="117"/>
      <c r="Q309" s="207"/>
    </row>
    <row r="310" spans="1:17" ht="14" x14ac:dyDescent="0.3">
      <c r="A310" s="100" t="s">
        <v>802</v>
      </c>
      <c r="B310" s="101" t="s">
        <v>350</v>
      </c>
      <c r="C310" s="87">
        <v>52.024500000000003</v>
      </c>
      <c r="D310" s="293">
        <v>0</v>
      </c>
      <c r="E310" s="294">
        <v>0</v>
      </c>
      <c r="F310" s="294">
        <v>52.024500000000003</v>
      </c>
      <c r="G310" s="295" t="s">
        <v>14</v>
      </c>
      <c r="H310" s="83">
        <f>C310*0</f>
        <v>0</v>
      </c>
      <c r="I310" s="98">
        <f>C310*0</f>
        <v>0</v>
      </c>
      <c r="J310" s="84">
        <f>C310*1</f>
        <v>52.024500000000003</v>
      </c>
      <c r="K310" s="85"/>
      <c r="L310" s="86">
        <f t="shared" si="128"/>
        <v>52.024500000000003</v>
      </c>
      <c r="M310" s="99" t="s">
        <v>454</v>
      </c>
      <c r="N310" s="207"/>
      <c r="O310" s="207"/>
      <c r="P310" s="117"/>
      <c r="Q310" s="207"/>
    </row>
    <row r="311" spans="1:17" ht="14" x14ac:dyDescent="0.3">
      <c r="A311" s="100" t="s">
        <v>832</v>
      </c>
      <c r="B311" s="101" t="s">
        <v>833</v>
      </c>
      <c r="C311" s="87">
        <v>48.024000000000001</v>
      </c>
      <c r="D311" s="293">
        <v>21.610800000000001</v>
      </c>
      <c r="E311" s="294">
        <v>4.8024000000000004</v>
      </c>
      <c r="F311" s="294">
        <v>21.610800000000001</v>
      </c>
      <c r="G311" s="295"/>
      <c r="H311" s="83">
        <f t="shared" ref="H311" si="129">C311*0.45</f>
        <v>21.610800000000001</v>
      </c>
      <c r="I311" s="98">
        <f t="shared" ref="I311" si="130">C311*0.1</f>
        <v>4.8024000000000004</v>
      </c>
      <c r="J311" s="84">
        <f t="shared" ref="J311" si="131">C311*0.45</f>
        <v>21.610800000000001</v>
      </c>
      <c r="K311" s="85"/>
      <c r="L311" s="86">
        <f t="shared" si="128"/>
        <v>21.610800000000001</v>
      </c>
      <c r="M311" s="99" t="s">
        <v>454</v>
      </c>
      <c r="N311" s="207"/>
      <c r="O311" s="207"/>
      <c r="P311" s="117"/>
      <c r="Q311" s="207"/>
    </row>
    <row r="312" spans="1:17" ht="14" x14ac:dyDescent="0.3">
      <c r="A312" s="100" t="s">
        <v>798</v>
      </c>
      <c r="B312" s="101" t="s">
        <v>320</v>
      </c>
      <c r="C312" s="87">
        <v>46.009500000000003</v>
      </c>
      <c r="D312" s="293">
        <v>0</v>
      </c>
      <c r="E312" s="294">
        <v>0</v>
      </c>
      <c r="F312" s="294">
        <v>46.009500000000003</v>
      </c>
      <c r="G312" s="295" t="s">
        <v>14</v>
      </c>
      <c r="H312" s="83">
        <f>C312*0</f>
        <v>0</v>
      </c>
      <c r="I312" s="98">
        <f>C312*0</f>
        <v>0</v>
      </c>
      <c r="J312" s="84">
        <f>C312*1</f>
        <v>46.009500000000003</v>
      </c>
      <c r="K312" s="85"/>
      <c r="L312" s="86">
        <f t="shared" si="128"/>
        <v>46.009500000000003</v>
      </c>
      <c r="M312" s="99" t="s">
        <v>454</v>
      </c>
      <c r="N312" s="207"/>
      <c r="O312" s="207"/>
      <c r="P312" s="117"/>
      <c r="Q312" s="207"/>
    </row>
    <row r="313" spans="1:17" ht="14" x14ac:dyDescent="0.3">
      <c r="A313" s="100" t="s">
        <v>878</v>
      </c>
      <c r="B313" s="101" t="s">
        <v>879</v>
      </c>
      <c r="C313" s="87">
        <v>34.017000000000003</v>
      </c>
      <c r="D313" s="293">
        <v>15.307650000000002</v>
      </c>
      <c r="E313" s="294">
        <v>3.4017000000000004</v>
      </c>
      <c r="F313" s="294">
        <v>15.307650000000002</v>
      </c>
      <c r="G313" s="295"/>
      <c r="H313" s="83">
        <f t="shared" ref="H313" si="132">C313*0.45</f>
        <v>15.307650000000002</v>
      </c>
      <c r="I313" s="98">
        <f t="shared" ref="I313" si="133">C313*0.1</f>
        <v>3.4017000000000004</v>
      </c>
      <c r="J313" s="84">
        <f t="shared" ref="J313" si="134">C313*0.45</f>
        <v>15.307650000000002</v>
      </c>
      <c r="K313" s="85"/>
      <c r="L313" s="86">
        <f t="shared" si="128"/>
        <v>15.307650000000002</v>
      </c>
      <c r="M313" s="99" t="s">
        <v>454</v>
      </c>
      <c r="N313" s="207"/>
      <c r="O313" s="207"/>
      <c r="P313" s="117"/>
      <c r="Q313" s="207"/>
    </row>
    <row r="314" spans="1:17" ht="14" x14ac:dyDescent="0.3">
      <c r="A314" s="100" t="s">
        <v>799</v>
      </c>
      <c r="B314" s="101" t="s">
        <v>900</v>
      </c>
      <c r="C314" s="87">
        <v>24.9985</v>
      </c>
      <c r="D314" s="293">
        <v>9.6244224999999997</v>
      </c>
      <c r="E314" s="294">
        <v>2.2498649999999998</v>
      </c>
      <c r="F314" s="294">
        <v>13.124212500000001</v>
      </c>
      <c r="G314" s="295" t="s">
        <v>853</v>
      </c>
      <c r="H314" s="83">
        <f t="shared" ref="H314:H315" si="135">C314*0.385</f>
        <v>9.6244224999999997</v>
      </c>
      <c r="I314" s="98">
        <f t="shared" ref="I314:I315" si="136">C314*0.09</f>
        <v>2.2498649999999998</v>
      </c>
      <c r="J314" s="84">
        <f t="shared" ref="J314:J315" si="137">C314*0.525</f>
        <v>13.124212500000001</v>
      </c>
      <c r="K314" s="85"/>
      <c r="L314" s="86">
        <f t="shared" si="128"/>
        <v>13.124212500000001</v>
      </c>
      <c r="M314" s="99" t="s">
        <v>454</v>
      </c>
      <c r="N314" s="207"/>
      <c r="O314" s="207"/>
      <c r="P314" s="117"/>
      <c r="Q314" s="207"/>
    </row>
    <row r="315" spans="1:17" ht="14" x14ac:dyDescent="0.3">
      <c r="A315" s="100" t="s">
        <v>768</v>
      </c>
      <c r="B315" s="101" t="s">
        <v>769</v>
      </c>
      <c r="C315" s="87">
        <v>20</v>
      </c>
      <c r="D315" s="293">
        <v>7.7</v>
      </c>
      <c r="E315" s="294">
        <v>1.7999999999999998</v>
      </c>
      <c r="F315" s="294">
        <v>10.5</v>
      </c>
      <c r="G315" s="295" t="s">
        <v>853</v>
      </c>
      <c r="H315" s="83">
        <f t="shared" si="135"/>
        <v>7.7</v>
      </c>
      <c r="I315" s="98">
        <f t="shared" si="136"/>
        <v>1.7999999999999998</v>
      </c>
      <c r="J315" s="84">
        <f t="shared" si="137"/>
        <v>10.5</v>
      </c>
      <c r="K315" s="85"/>
      <c r="L315" s="86">
        <f t="shared" si="128"/>
        <v>10.5</v>
      </c>
      <c r="M315" s="99" t="s">
        <v>454</v>
      </c>
      <c r="N315" s="207"/>
      <c r="O315" s="207"/>
      <c r="P315" s="117"/>
      <c r="Q315" s="207"/>
    </row>
    <row r="316" spans="1:17" ht="14" x14ac:dyDescent="0.3">
      <c r="A316" s="100" t="s">
        <v>803</v>
      </c>
      <c r="B316" s="101" t="s">
        <v>359</v>
      </c>
      <c r="C316" s="87">
        <v>10.005000000000001</v>
      </c>
      <c r="D316" s="293">
        <v>4.5022500000000001</v>
      </c>
      <c r="E316" s="294">
        <v>1.0005000000000002</v>
      </c>
      <c r="F316" s="294">
        <v>4.5022500000000001</v>
      </c>
      <c r="G316" s="295"/>
      <c r="H316" s="83">
        <f t="shared" ref="H316" si="138">C316*0.45</f>
        <v>4.5022500000000001</v>
      </c>
      <c r="I316" s="98">
        <f t="shared" ref="I316" si="139">C316*0.1</f>
        <v>1.0005000000000002</v>
      </c>
      <c r="J316" s="84">
        <f t="shared" ref="J316" si="140">C316*0.45</f>
        <v>4.5022500000000001</v>
      </c>
      <c r="K316" s="85"/>
      <c r="L316" s="86">
        <f t="shared" si="128"/>
        <v>4.5022500000000001</v>
      </c>
      <c r="M316" s="99" t="s">
        <v>454</v>
      </c>
      <c r="N316" s="207"/>
      <c r="O316" s="207"/>
      <c r="P316" s="117"/>
      <c r="Q316" s="207"/>
    </row>
    <row r="317" spans="1:17" ht="14" x14ac:dyDescent="0.3">
      <c r="A317" s="100" t="s">
        <v>804</v>
      </c>
      <c r="B317" s="101" t="s">
        <v>332</v>
      </c>
      <c r="C317" s="87">
        <v>8.0015000000000001</v>
      </c>
      <c r="D317" s="293">
        <v>0</v>
      </c>
      <c r="E317" s="294">
        <v>0</v>
      </c>
      <c r="F317" s="294">
        <v>8.0015000000000001</v>
      </c>
      <c r="G317" s="295" t="s">
        <v>14</v>
      </c>
      <c r="H317" s="83">
        <f>C317*0</f>
        <v>0</v>
      </c>
      <c r="I317" s="98">
        <f>C317*0</f>
        <v>0</v>
      </c>
      <c r="J317" s="84">
        <f>C317*1</f>
        <v>8.0015000000000001</v>
      </c>
      <c r="K317" s="85"/>
      <c r="L317" s="86">
        <f t="shared" si="128"/>
        <v>8.0015000000000001</v>
      </c>
      <c r="M317" s="99" t="s">
        <v>454</v>
      </c>
      <c r="N317" s="207"/>
      <c r="O317" s="207"/>
      <c r="P317" s="117"/>
      <c r="Q317" s="207"/>
    </row>
    <row r="318" spans="1:17" ht="14" x14ac:dyDescent="0.3">
      <c r="A318" s="100" t="s">
        <v>908</v>
      </c>
      <c r="B318" s="101" t="s">
        <v>909</v>
      </c>
      <c r="C318" s="87">
        <v>39727.853999999999</v>
      </c>
      <c r="D318" s="293">
        <v>17877.534299999999</v>
      </c>
      <c r="E318" s="294">
        <v>3972.7854000000002</v>
      </c>
      <c r="F318" s="294">
        <v>17877.534299999999</v>
      </c>
      <c r="G318" s="295"/>
      <c r="H318" s="83">
        <f t="shared" ref="H318" si="141">C318*0.45</f>
        <v>17877.534299999999</v>
      </c>
      <c r="I318" s="98">
        <f t="shared" ref="I318" si="142">C318*0.1</f>
        <v>3972.7854000000002</v>
      </c>
      <c r="J318" s="84">
        <f t="shared" ref="J318" si="143">C318*0.45</f>
        <v>17877.534299999999</v>
      </c>
      <c r="K318" s="85"/>
      <c r="L318" s="86">
        <f t="shared" si="128"/>
        <v>17877.534299999999</v>
      </c>
      <c r="M318" s="99" t="s">
        <v>454</v>
      </c>
      <c r="N318" s="207"/>
      <c r="O318" s="207"/>
      <c r="P318" s="117"/>
      <c r="Q318" s="207"/>
    </row>
    <row r="319" spans="1:17" ht="14" x14ac:dyDescent="0.3">
      <c r="A319" s="100" t="s">
        <v>910</v>
      </c>
      <c r="B319" s="101" t="s">
        <v>911</v>
      </c>
      <c r="C319" s="87">
        <v>2297.1480000000001</v>
      </c>
      <c r="D319" s="293">
        <v>1033.7166000000002</v>
      </c>
      <c r="E319" s="294">
        <v>229.71480000000003</v>
      </c>
      <c r="F319" s="294">
        <v>1033.7166000000002</v>
      </c>
      <c r="G319" s="295"/>
      <c r="H319" s="83">
        <f t="shared" ref="H319:H326" si="144">C319*0.45</f>
        <v>1033.7166000000002</v>
      </c>
      <c r="I319" s="98">
        <f t="shared" ref="I319:I326" si="145">C319*0.1</f>
        <v>229.71480000000003</v>
      </c>
      <c r="J319" s="84">
        <f t="shared" ref="J319:J326" si="146">C319*0.45</f>
        <v>1033.7166000000002</v>
      </c>
      <c r="K319" s="85"/>
      <c r="L319" s="86">
        <f t="shared" si="128"/>
        <v>1033.7166000000002</v>
      </c>
      <c r="M319" s="99" t="s">
        <v>454</v>
      </c>
      <c r="N319" s="207"/>
      <c r="O319" s="207"/>
      <c r="P319" s="117"/>
      <c r="Q319" s="207"/>
    </row>
    <row r="320" spans="1:17" ht="14" x14ac:dyDescent="0.3">
      <c r="A320" s="100" t="s">
        <v>912</v>
      </c>
      <c r="B320" s="101"/>
      <c r="C320" s="87">
        <v>744.48699999999997</v>
      </c>
      <c r="D320" s="293">
        <v>335.01914999999997</v>
      </c>
      <c r="E320" s="294">
        <v>74.448700000000002</v>
      </c>
      <c r="F320" s="294">
        <v>335.01914999999997</v>
      </c>
      <c r="G320" s="295"/>
      <c r="H320" s="83">
        <f t="shared" si="144"/>
        <v>335.01914999999997</v>
      </c>
      <c r="I320" s="98">
        <f t="shared" si="145"/>
        <v>74.448700000000002</v>
      </c>
      <c r="J320" s="84">
        <f t="shared" si="146"/>
        <v>335.01914999999997</v>
      </c>
      <c r="K320" s="85"/>
      <c r="L320" s="86">
        <f t="shared" si="128"/>
        <v>335.01914999999997</v>
      </c>
      <c r="M320" s="99" t="s">
        <v>454</v>
      </c>
      <c r="N320" s="207"/>
      <c r="O320" s="207"/>
      <c r="P320" s="117"/>
      <c r="Q320" s="207"/>
    </row>
    <row r="321" spans="1:17" ht="14" x14ac:dyDescent="0.3">
      <c r="A321" s="100" t="s">
        <v>913</v>
      </c>
      <c r="B321" s="101" t="s">
        <v>914</v>
      </c>
      <c r="C321" s="87">
        <v>71.989999999999995</v>
      </c>
      <c r="D321" s="293">
        <v>32.395499999999998</v>
      </c>
      <c r="E321" s="294">
        <v>7.1989999999999998</v>
      </c>
      <c r="F321" s="294">
        <v>32.395499999999998</v>
      </c>
      <c r="G321" s="295"/>
      <c r="H321" s="83">
        <f t="shared" si="144"/>
        <v>32.395499999999998</v>
      </c>
      <c r="I321" s="98">
        <f t="shared" si="145"/>
        <v>7.1989999999999998</v>
      </c>
      <c r="J321" s="84">
        <f t="shared" si="146"/>
        <v>32.395499999999998</v>
      </c>
      <c r="K321" s="85"/>
      <c r="L321" s="86">
        <f t="shared" si="128"/>
        <v>32.395499999999998</v>
      </c>
      <c r="M321" s="99" t="s">
        <v>454</v>
      </c>
      <c r="N321" s="207"/>
      <c r="O321" s="207"/>
      <c r="P321" s="117"/>
      <c r="Q321" s="207"/>
    </row>
    <row r="322" spans="1:17" ht="14" x14ac:dyDescent="0.3">
      <c r="A322" s="100" t="s">
        <v>915</v>
      </c>
      <c r="B322" s="101" t="s">
        <v>916</v>
      </c>
      <c r="C322" s="87">
        <v>18.009</v>
      </c>
      <c r="D322" s="293">
        <v>8.1040500000000009</v>
      </c>
      <c r="E322" s="294">
        <v>1.8009000000000002</v>
      </c>
      <c r="F322" s="294">
        <v>8.1040500000000009</v>
      </c>
      <c r="G322" s="295"/>
      <c r="H322" s="83">
        <f t="shared" si="144"/>
        <v>8.1040500000000009</v>
      </c>
      <c r="I322" s="98">
        <f t="shared" si="145"/>
        <v>1.8009000000000002</v>
      </c>
      <c r="J322" s="84">
        <f t="shared" si="146"/>
        <v>8.1040500000000009</v>
      </c>
      <c r="K322" s="85"/>
      <c r="L322" s="86">
        <f t="shared" si="128"/>
        <v>8.1040500000000009</v>
      </c>
      <c r="M322" s="99" t="s">
        <v>454</v>
      </c>
      <c r="N322" s="207"/>
      <c r="O322" s="207"/>
      <c r="P322" s="117"/>
      <c r="Q322" s="207"/>
    </row>
    <row r="323" spans="1:17" ht="14" x14ac:dyDescent="0.3">
      <c r="A323" s="100" t="s">
        <v>917</v>
      </c>
      <c r="B323" s="101" t="s">
        <v>918</v>
      </c>
      <c r="C323" s="87">
        <v>8.0039999999999996</v>
      </c>
      <c r="D323" s="293">
        <v>3.6017999999999999</v>
      </c>
      <c r="E323" s="294">
        <v>0.8004</v>
      </c>
      <c r="F323" s="294">
        <v>3.6017999999999999</v>
      </c>
      <c r="G323" s="295"/>
      <c r="H323" s="83">
        <f t="shared" si="144"/>
        <v>3.6017999999999999</v>
      </c>
      <c r="I323" s="98">
        <f t="shared" si="145"/>
        <v>0.8004</v>
      </c>
      <c r="J323" s="84">
        <f t="shared" si="146"/>
        <v>3.6017999999999999</v>
      </c>
      <c r="K323" s="85"/>
      <c r="L323" s="86">
        <f t="shared" si="128"/>
        <v>3.6017999999999999</v>
      </c>
      <c r="M323" s="99" t="s">
        <v>454</v>
      </c>
      <c r="N323" s="207"/>
      <c r="O323" s="207"/>
      <c r="P323" s="117"/>
      <c r="Q323" s="207"/>
    </row>
    <row r="324" spans="1:17" ht="14" x14ac:dyDescent="0.3">
      <c r="A324" s="100" t="s">
        <v>919</v>
      </c>
      <c r="B324" s="101" t="s">
        <v>916</v>
      </c>
      <c r="C324" s="87">
        <v>4.0019999999999998</v>
      </c>
      <c r="D324" s="293">
        <v>1.8008999999999999</v>
      </c>
      <c r="E324" s="294">
        <v>0.4002</v>
      </c>
      <c r="F324" s="294">
        <v>1.8008999999999999</v>
      </c>
      <c r="G324" s="295"/>
      <c r="H324" s="83">
        <f t="shared" si="144"/>
        <v>1.8008999999999999</v>
      </c>
      <c r="I324" s="98">
        <f t="shared" si="145"/>
        <v>0.4002</v>
      </c>
      <c r="J324" s="84">
        <f t="shared" si="146"/>
        <v>1.8008999999999999</v>
      </c>
      <c r="K324" s="85"/>
      <c r="L324" s="86">
        <f t="shared" si="128"/>
        <v>1.8008999999999999</v>
      </c>
      <c r="M324" s="99" t="s">
        <v>454</v>
      </c>
      <c r="N324" s="207"/>
      <c r="O324" s="207"/>
      <c r="P324" s="117"/>
      <c r="Q324" s="207"/>
    </row>
    <row r="325" spans="1:17" ht="14" x14ac:dyDescent="0.3">
      <c r="A325" s="100" t="s">
        <v>920</v>
      </c>
      <c r="B325" s="101" t="s">
        <v>921</v>
      </c>
      <c r="C325" s="87">
        <v>3</v>
      </c>
      <c r="D325" s="293">
        <v>1.35</v>
      </c>
      <c r="E325" s="294">
        <v>0.30000000000000004</v>
      </c>
      <c r="F325" s="294">
        <v>1.35</v>
      </c>
      <c r="G325" s="295"/>
      <c r="H325" s="83">
        <f t="shared" si="144"/>
        <v>1.35</v>
      </c>
      <c r="I325" s="98">
        <f t="shared" si="145"/>
        <v>0.30000000000000004</v>
      </c>
      <c r="J325" s="84">
        <f t="shared" si="146"/>
        <v>1.35</v>
      </c>
      <c r="K325" s="85"/>
      <c r="L325" s="86">
        <f t="shared" si="128"/>
        <v>1.35</v>
      </c>
      <c r="M325" s="99" t="s">
        <v>454</v>
      </c>
      <c r="N325" s="207"/>
      <c r="O325" s="207"/>
      <c r="P325" s="117"/>
      <c r="Q325" s="207"/>
    </row>
    <row r="326" spans="1:17" ht="14.5" thickBot="1" x14ac:dyDescent="0.35">
      <c r="A326" s="100"/>
      <c r="B326" s="101"/>
      <c r="C326" s="87"/>
      <c r="D326" s="293"/>
      <c r="E326" s="294"/>
      <c r="F326" s="294"/>
      <c r="G326" s="295"/>
      <c r="H326" s="83">
        <f t="shared" si="144"/>
        <v>0</v>
      </c>
      <c r="I326" s="98">
        <f t="shared" si="145"/>
        <v>0</v>
      </c>
      <c r="J326" s="84">
        <f t="shared" si="146"/>
        <v>0</v>
      </c>
      <c r="K326" s="85"/>
      <c r="L326" s="86">
        <f t="shared" si="128"/>
        <v>0</v>
      </c>
      <c r="M326" s="99" t="s">
        <v>454</v>
      </c>
      <c r="N326" s="207"/>
      <c r="O326" s="207"/>
      <c r="P326" s="117"/>
      <c r="Q326" s="207"/>
    </row>
    <row r="327" spans="1:17" ht="16.5" thickTop="1" thickBot="1" x14ac:dyDescent="0.4">
      <c r="A327" s="413" t="s">
        <v>132</v>
      </c>
      <c r="B327" s="414"/>
      <c r="C327" s="302">
        <f>SUM(C5:C326)</f>
        <v>130323370.27679999</v>
      </c>
      <c r="D327" s="303">
        <f>SUM(D5:D326)</f>
        <v>52199377.002549969</v>
      </c>
      <c r="E327" s="303">
        <f>SUM(E5:E326)</f>
        <v>11830318.164715011</v>
      </c>
      <c r="F327" s="303">
        <f>SUM(F5:F326)</f>
        <v>66293675.109535001</v>
      </c>
      <c r="G327" s="303"/>
      <c r="H327" s="111">
        <f>SUM(H5:H326)</f>
        <v>52199377.002549969</v>
      </c>
      <c r="I327" s="112">
        <f>SUM(I5:I326)</f>
        <v>11830318.164715011</v>
      </c>
      <c r="J327" s="113">
        <f>SUM(J5:J326)</f>
        <v>66293675.109535001</v>
      </c>
      <c r="K327" s="114">
        <f>SUM(K5:K326)</f>
        <v>163186.62425000002</v>
      </c>
      <c r="L327" s="115">
        <f>SUM(L5:L326)</f>
        <v>66130488.485284999</v>
      </c>
      <c r="M327" s="116"/>
    </row>
    <row r="328" spans="1:17" ht="12.5" thickTop="1" x14ac:dyDescent="0.3">
      <c r="C328" s="304"/>
      <c r="H328" s="228"/>
      <c r="I328" s="228"/>
      <c r="J328" s="228"/>
      <c r="K328" s="228"/>
      <c r="L328" s="228">
        <f>SUBTOTAL(9,L327)</f>
        <v>66130488.485284999</v>
      </c>
    </row>
    <row r="329" spans="1:17" x14ac:dyDescent="0.3">
      <c r="C329" s="224"/>
      <c r="D329" s="224"/>
      <c r="E329" s="224"/>
      <c r="F329" s="224"/>
      <c r="H329" s="117"/>
      <c r="I329" s="117"/>
      <c r="J329" s="117"/>
      <c r="K329" s="117"/>
      <c r="L329" s="117"/>
    </row>
    <row r="332" spans="1:17" x14ac:dyDescent="0.3">
      <c r="C332" s="226"/>
      <c r="D332" s="226"/>
      <c r="E332" s="226"/>
      <c r="F332" s="226"/>
      <c r="L332" s="207"/>
    </row>
  </sheetData>
  <mergeCells count="15">
    <mergeCell ref="H3:H4"/>
    <mergeCell ref="I3:I4"/>
    <mergeCell ref="J3:L3"/>
    <mergeCell ref="M3:M4"/>
    <mergeCell ref="A327:B327"/>
    <mergeCell ref="A1:A4"/>
    <mergeCell ref="B1:B4"/>
    <mergeCell ref="C1:M1"/>
    <mergeCell ref="C2:C4"/>
    <mergeCell ref="D2:G2"/>
    <mergeCell ref="H2:M2"/>
    <mergeCell ref="D3:D4"/>
    <mergeCell ref="E3:E4"/>
    <mergeCell ref="F3:F4"/>
    <mergeCell ref="G3:G4"/>
  </mergeCells>
  <conditionalFormatting sqref="A1">
    <cfRule type="duplicateValues" dxfId="95" priority="36"/>
    <cfRule type="duplicateValues" dxfId="94" priority="35"/>
  </conditionalFormatting>
  <conditionalFormatting sqref="A5:A6">
    <cfRule type="duplicateValues" dxfId="93" priority="598"/>
    <cfRule type="duplicateValues" dxfId="92" priority="599"/>
    <cfRule type="duplicateValues" dxfId="91" priority="600"/>
    <cfRule type="duplicateValues" dxfId="90" priority="601"/>
  </conditionalFormatting>
  <conditionalFormatting sqref="A5:A194">
    <cfRule type="duplicateValues" dxfId="89" priority="602"/>
  </conditionalFormatting>
  <conditionalFormatting sqref="A5:A209">
    <cfRule type="duplicateValues" dxfId="88" priority="604"/>
  </conditionalFormatting>
  <conditionalFormatting sqref="A5:A326">
    <cfRule type="duplicateValues" dxfId="87" priority="645"/>
    <cfRule type="duplicateValues" dxfId="86" priority="644"/>
  </conditionalFormatting>
  <conditionalFormatting sqref="A7:A194">
    <cfRule type="duplicateValues" dxfId="85" priority="590"/>
    <cfRule type="duplicateValues" dxfId="84" priority="589"/>
    <cfRule type="duplicateValues" dxfId="83" priority="588"/>
  </conditionalFormatting>
  <conditionalFormatting sqref="A195">
    <cfRule type="duplicateValues" dxfId="82" priority="11"/>
    <cfRule type="duplicateValues" dxfId="81" priority="12"/>
    <cfRule type="duplicateValues" dxfId="80" priority="13"/>
    <cfRule type="duplicateValues" dxfId="79" priority="14"/>
  </conditionalFormatting>
  <conditionalFormatting sqref="A195:A209">
    <cfRule type="duplicateValues" dxfId="78" priority="27"/>
    <cfRule type="duplicateValues" dxfId="77" priority="28"/>
    <cfRule type="duplicateValues" dxfId="76" priority="29"/>
    <cfRule type="duplicateValues" dxfId="75" priority="30"/>
  </conditionalFormatting>
  <conditionalFormatting sqref="A210:A326">
    <cfRule type="duplicateValues" dxfId="74" priority="634"/>
    <cfRule type="duplicateValues" dxfId="73" priority="635"/>
    <cfRule type="duplicateValues" dxfId="72" priority="636"/>
    <cfRule type="duplicateValues" dxfId="71" priority="637"/>
    <cfRule type="duplicateValues" dxfId="70" priority="638"/>
  </conditionalFormatting>
  <conditionalFormatting sqref="A328:A1048576 A1 A5:A326">
    <cfRule type="duplicateValues" dxfId="69" priority="1"/>
    <cfRule type="duplicateValues" dxfId="68" priority="2"/>
  </conditionalFormatting>
  <conditionalFormatting sqref="A328:A1048576 A1">
    <cfRule type="duplicateValues" dxfId="67" priority="37"/>
  </conditionalFormatting>
  <conditionalFormatting sqref="C2">
    <cfRule type="duplicateValues" dxfId="66" priority="34"/>
    <cfRule type="duplicateValues" dxfId="65" priority="33"/>
  </conditionalFormatting>
  <conditionalFormatting sqref="M3">
    <cfRule type="duplicateValues" dxfId="64" priority="31"/>
    <cfRule type="duplicateValues" dxfId="63" priority="32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33"/>
  <sheetViews>
    <sheetView workbookViewId="0">
      <selection activeCell="I14" sqref="I14"/>
    </sheetView>
  </sheetViews>
  <sheetFormatPr defaultRowHeight="14.5" x14ac:dyDescent="0.35"/>
  <cols>
    <col min="1" max="1" width="11.88671875" style="69" customWidth="1"/>
    <col min="2" max="2" width="46.77734375" style="69" customWidth="1"/>
    <col min="3" max="3" width="12.21875" style="69" customWidth="1"/>
    <col min="4" max="4" width="16.33203125" style="69" customWidth="1"/>
    <col min="5" max="5" width="17.88671875" style="81" customWidth="1"/>
    <col min="6" max="6" width="15.77734375" style="81" customWidth="1"/>
    <col min="7" max="7" width="11.88671875" style="81" customWidth="1"/>
    <col min="8" max="8" width="16.109375" style="69" customWidth="1"/>
    <col min="9" max="9" width="18.6640625" style="69" customWidth="1"/>
    <col min="10" max="10" width="19" style="69" bestFit="1" customWidth="1"/>
    <col min="11" max="11" width="14.44140625" style="69" bestFit="1" customWidth="1"/>
    <col min="12" max="12" width="13.6640625" style="69" bestFit="1" customWidth="1"/>
    <col min="13" max="16384" width="8.88671875" style="69"/>
  </cols>
  <sheetData>
    <row r="1" spans="1:12" ht="25.5" customHeight="1" thickTop="1" thickBot="1" x14ac:dyDescent="0.4">
      <c r="A1" s="550" t="s">
        <v>23</v>
      </c>
      <c r="B1" s="553" t="s">
        <v>24</v>
      </c>
      <c r="C1" s="556" t="s">
        <v>25</v>
      </c>
      <c r="D1" s="559" t="s">
        <v>922</v>
      </c>
      <c r="E1" s="562" t="s">
        <v>2</v>
      </c>
      <c r="F1" s="563"/>
      <c r="G1" s="563"/>
      <c r="H1" s="564" t="s">
        <v>3</v>
      </c>
      <c r="I1" s="565"/>
      <c r="J1" s="541" t="s">
        <v>5</v>
      </c>
    </row>
    <row r="2" spans="1:12" ht="15.5" customHeight="1" thickTop="1" x14ac:dyDescent="0.35">
      <c r="A2" s="551"/>
      <c r="B2" s="554"/>
      <c r="C2" s="557"/>
      <c r="D2" s="560"/>
      <c r="E2" s="544" t="s">
        <v>127</v>
      </c>
      <c r="F2" s="544"/>
      <c r="G2" s="545"/>
      <c r="H2" s="546" t="s">
        <v>127</v>
      </c>
      <c r="I2" s="547"/>
      <c r="J2" s="542"/>
    </row>
    <row r="3" spans="1:12" ht="21.5" thickBot="1" x14ac:dyDescent="0.4">
      <c r="A3" s="552"/>
      <c r="B3" s="555"/>
      <c r="C3" s="558"/>
      <c r="D3" s="561"/>
      <c r="E3" s="70" t="s">
        <v>17</v>
      </c>
      <c r="F3" s="71" t="s">
        <v>4</v>
      </c>
      <c r="G3" s="72" t="s">
        <v>5</v>
      </c>
      <c r="H3" s="73" t="s">
        <v>17</v>
      </c>
      <c r="I3" s="74" t="s">
        <v>4</v>
      </c>
      <c r="J3" s="543"/>
    </row>
    <row r="4" spans="1:12" ht="15" thickTop="1" x14ac:dyDescent="0.35">
      <c r="A4" s="197">
        <v>2518222</v>
      </c>
      <c r="B4" s="75" t="s">
        <v>457</v>
      </c>
      <c r="C4" s="76" t="s">
        <v>26</v>
      </c>
      <c r="D4" s="80">
        <v>104439.12</v>
      </c>
      <c r="E4" s="290">
        <v>41775.648000000001</v>
      </c>
      <c r="F4" s="290">
        <v>62663.471999999994</v>
      </c>
      <c r="G4" s="291"/>
      <c r="H4" s="230">
        <f>D4*0.4</f>
        <v>41775.648000000001</v>
      </c>
      <c r="I4" s="230">
        <f>D4*0.6</f>
        <v>62663.471999999994</v>
      </c>
      <c r="J4" s="99" t="s">
        <v>114</v>
      </c>
      <c r="K4" s="77"/>
      <c r="L4" s="77"/>
    </row>
    <row r="5" spans="1:12" x14ac:dyDescent="0.35">
      <c r="A5" s="198">
        <v>2518330</v>
      </c>
      <c r="B5" s="78" t="s">
        <v>458</v>
      </c>
      <c r="C5" s="79" t="s">
        <v>26</v>
      </c>
      <c r="D5" s="80">
        <v>312077.48</v>
      </c>
      <c r="E5" s="290">
        <v>124830.992</v>
      </c>
      <c r="F5" s="290">
        <v>187246.48799999998</v>
      </c>
      <c r="G5" s="292"/>
      <c r="H5" s="230">
        <f t="shared" ref="H5:H30" si="0">D5*0.4</f>
        <v>124830.992</v>
      </c>
      <c r="I5" s="230">
        <f t="shared" ref="I5:I30" si="1">D5*0.6</f>
        <v>187246.48799999998</v>
      </c>
      <c r="J5" s="99" t="s">
        <v>114</v>
      </c>
      <c r="K5" s="77"/>
      <c r="L5" s="77"/>
    </row>
    <row r="6" spans="1:12" x14ac:dyDescent="0.35">
      <c r="A6" s="198">
        <v>251636</v>
      </c>
      <c r="B6" s="78" t="s">
        <v>128</v>
      </c>
      <c r="C6" s="79" t="s">
        <v>26</v>
      </c>
      <c r="D6" s="80">
        <v>1213550.43</v>
      </c>
      <c r="E6" s="290">
        <v>364065.12899999996</v>
      </c>
      <c r="F6" s="290">
        <v>849485.30099999986</v>
      </c>
      <c r="G6" s="229" t="s">
        <v>459</v>
      </c>
      <c r="H6" s="230">
        <f>D6*0.3</f>
        <v>364065.12899999996</v>
      </c>
      <c r="I6" s="230">
        <f>D6*0.7</f>
        <v>849485.30099999986</v>
      </c>
      <c r="J6" s="99" t="s">
        <v>114</v>
      </c>
      <c r="K6" s="77"/>
      <c r="L6" s="77"/>
    </row>
    <row r="7" spans="1:12" x14ac:dyDescent="0.35">
      <c r="A7" s="198">
        <v>251129</v>
      </c>
      <c r="B7" s="78" t="s">
        <v>460</v>
      </c>
      <c r="C7" s="79" t="s">
        <v>26</v>
      </c>
      <c r="D7" s="80">
        <v>119931.99</v>
      </c>
      <c r="E7" s="290">
        <v>35979.597000000002</v>
      </c>
      <c r="F7" s="290">
        <v>83952.392999999996</v>
      </c>
      <c r="G7" s="229" t="s">
        <v>459</v>
      </c>
      <c r="H7" s="230">
        <f>D7*0.3</f>
        <v>35979.597000000002</v>
      </c>
      <c r="I7" s="230">
        <f>D7*0.7</f>
        <v>83952.392999999996</v>
      </c>
      <c r="J7" s="99" t="s">
        <v>114</v>
      </c>
      <c r="K7" s="77"/>
      <c r="L7" s="77"/>
    </row>
    <row r="8" spans="1:12" x14ac:dyDescent="0.35">
      <c r="A8" s="198">
        <v>2517276</v>
      </c>
      <c r="B8" s="78" t="s">
        <v>458</v>
      </c>
      <c r="C8" s="79" t="s">
        <v>26</v>
      </c>
      <c r="D8" s="80">
        <v>113073</v>
      </c>
      <c r="E8" s="290">
        <v>45229.200000000004</v>
      </c>
      <c r="F8" s="290">
        <v>67843.8</v>
      </c>
      <c r="G8" s="229"/>
      <c r="H8" s="230">
        <f t="shared" si="0"/>
        <v>45229.200000000004</v>
      </c>
      <c r="I8" s="230">
        <f t="shared" si="1"/>
        <v>67843.8</v>
      </c>
      <c r="J8" s="99" t="s">
        <v>114</v>
      </c>
      <c r="K8" s="77"/>
      <c r="L8" s="77"/>
    </row>
    <row r="9" spans="1:12" x14ac:dyDescent="0.35">
      <c r="A9" s="198">
        <v>251854</v>
      </c>
      <c r="B9" s="78" t="s">
        <v>880</v>
      </c>
      <c r="C9" s="79" t="s">
        <v>26</v>
      </c>
      <c r="D9" s="80">
        <v>69985.03</v>
      </c>
      <c r="E9" s="290">
        <v>27994.012000000002</v>
      </c>
      <c r="F9" s="290">
        <v>41991.017999999996</v>
      </c>
      <c r="G9" s="229"/>
      <c r="H9" s="230">
        <f t="shared" si="0"/>
        <v>27994.012000000002</v>
      </c>
      <c r="I9" s="230">
        <f t="shared" si="1"/>
        <v>41991.017999999996</v>
      </c>
      <c r="J9" s="99" t="s">
        <v>114</v>
      </c>
      <c r="K9" s="77"/>
      <c r="L9" s="77"/>
    </row>
    <row r="10" spans="1:12" x14ac:dyDescent="0.35">
      <c r="A10" s="198">
        <v>2517696</v>
      </c>
      <c r="B10" s="78" t="s">
        <v>461</v>
      </c>
      <c r="C10" s="79" t="s">
        <v>26</v>
      </c>
      <c r="D10" s="80">
        <v>429730.1</v>
      </c>
      <c r="E10" s="290">
        <v>171892.04</v>
      </c>
      <c r="F10" s="290">
        <v>257838.05999999997</v>
      </c>
      <c r="G10" s="229"/>
      <c r="H10" s="230">
        <f t="shared" si="0"/>
        <v>171892.04</v>
      </c>
      <c r="I10" s="230">
        <f t="shared" si="1"/>
        <v>257838.05999999997</v>
      </c>
      <c r="J10" s="99" t="s">
        <v>114</v>
      </c>
      <c r="K10" s="77"/>
      <c r="L10" s="77"/>
    </row>
    <row r="11" spans="1:12" x14ac:dyDescent="0.35">
      <c r="A11" s="198">
        <v>2518331</v>
      </c>
      <c r="B11" s="78" t="s">
        <v>458</v>
      </c>
      <c r="C11" s="79" t="s">
        <v>26</v>
      </c>
      <c r="D11" s="80">
        <v>4761</v>
      </c>
      <c r="E11" s="290">
        <v>1904.4</v>
      </c>
      <c r="F11" s="290">
        <v>2856.6</v>
      </c>
      <c r="G11" s="229"/>
      <c r="H11" s="230">
        <f t="shared" si="0"/>
        <v>1904.4</v>
      </c>
      <c r="I11" s="230">
        <f t="shared" si="1"/>
        <v>2856.6</v>
      </c>
      <c r="J11" s="99" t="s">
        <v>114</v>
      </c>
      <c r="K11" s="77"/>
      <c r="L11" s="77"/>
    </row>
    <row r="12" spans="1:12" x14ac:dyDescent="0.35">
      <c r="A12" s="198">
        <v>251801</v>
      </c>
      <c r="B12" s="78" t="s">
        <v>462</v>
      </c>
      <c r="C12" s="79" t="s">
        <v>26</v>
      </c>
      <c r="D12" s="80">
        <v>27291.360000000001</v>
      </c>
      <c r="E12" s="290">
        <v>10916.544000000002</v>
      </c>
      <c r="F12" s="290">
        <v>16374.815999999999</v>
      </c>
      <c r="G12" s="229"/>
      <c r="H12" s="230">
        <f t="shared" si="0"/>
        <v>10916.544000000002</v>
      </c>
      <c r="I12" s="230">
        <f t="shared" si="1"/>
        <v>16374.815999999999</v>
      </c>
      <c r="J12" s="99" t="s">
        <v>114</v>
      </c>
      <c r="K12" s="77"/>
      <c r="L12" s="77"/>
    </row>
    <row r="13" spans="1:12" x14ac:dyDescent="0.35">
      <c r="A13" s="198">
        <v>2518841</v>
      </c>
      <c r="B13" s="78" t="s">
        <v>399</v>
      </c>
      <c r="C13" s="79" t="s">
        <v>26</v>
      </c>
      <c r="D13" s="80"/>
      <c r="E13" s="290">
        <v>0</v>
      </c>
      <c r="F13" s="290">
        <v>0</v>
      </c>
      <c r="G13" s="229"/>
      <c r="H13" s="230">
        <f t="shared" si="0"/>
        <v>0</v>
      </c>
      <c r="I13" s="230">
        <f t="shared" si="1"/>
        <v>0</v>
      </c>
      <c r="J13" s="99" t="s">
        <v>114</v>
      </c>
      <c r="K13" s="77"/>
      <c r="L13" s="77"/>
    </row>
    <row r="14" spans="1:12" x14ac:dyDescent="0.35">
      <c r="A14" s="198">
        <v>251831</v>
      </c>
      <c r="B14" s="78" t="s">
        <v>463</v>
      </c>
      <c r="C14" s="79" t="s">
        <v>26</v>
      </c>
      <c r="D14" s="80">
        <v>12948</v>
      </c>
      <c r="E14" s="290">
        <v>3884.3999999999996</v>
      </c>
      <c r="F14" s="290">
        <v>9063.5999999999985</v>
      </c>
      <c r="G14" s="229" t="s">
        <v>459</v>
      </c>
      <c r="H14" s="230">
        <f>D14*0.3</f>
        <v>3884.3999999999996</v>
      </c>
      <c r="I14" s="230">
        <f>D14*0.7</f>
        <v>9063.5999999999985</v>
      </c>
      <c r="J14" s="99" t="s">
        <v>114</v>
      </c>
      <c r="K14" s="77"/>
      <c r="L14" s="77"/>
    </row>
    <row r="15" spans="1:12" x14ac:dyDescent="0.35">
      <c r="A15" s="198">
        <v>251800</v>
      </c>
      <c r="B15" s="78" t="s">
        <v>462</v>
      </c>
      <c r="C15" s="79" t="s">
        <v>26</v>
      </c>
      <c r="D15" s="80">
        <v>1770.09</v>
      </c>
      <c r="E15" s="290">
        <v>708.03600000000006</v>
      </c>
      <c r="F15" s="290">
        <v>1062.0539999999999</v>
      </c>
      <c r="G15" s="229"/>
      <c r="H15" s="230">
        <f t="shared" si="0"/>
        <v>708.03600000000006</v>
      </c>
      <c r="I15" s="230">
        <f t="shared" si="1"/>
        <v>1062.0539999999999</v>
      </c>
      <c r="J15" s="99" t="s">
        <v>114</v>
      </c>
      <c r="K15" s="77"/>
      <c r="L15" s="77"/>
    </row>
    <row r="16" spans="1:12" x14ac:dyDescent="0.35">
      <c r="A16" s="198">
        <v>2516321</v>
      </c>
      <c r="B16" s="78" t="s">
        <v>464</v>
      </c>
      <c r="C16" s="79" t="s">
        <v>26</v>
      </c>
      <c r="D16" s="80">
        <v>5706.28</v>
      </c>
      <c r="E16" s="290">
        <v>2282.5120000000002</v>
      </c>
      <c r="F16" s="290">
        <v>3423.7679999999996</v>
      </c>
      <c r="G16" s="229"/>
      <c r="H16" s="230">
        <f t="shared" si="0"/>
        <v>2282.5120000000002</v>
      </c>
      <c r="I16" s="230">
        <f t="shared" si="1"/>
        <v>3423.7679999999996</v>
      </c>
      <c r="J16" s="99" t="s">
        <v>114</v>
      </c>
      <c r="K16" s="77"/>
      <c r="L16" s="77"/>
    </row>
    <row r="17" spans="1:12" x14ac:dyDescent="0.35">
      <c r="A17" s="198">
        <v>2518288</v>
      </c>
      <c r="B17" s="78" t="s">
        <v>465</v>
      </c>
      <c r="C17" s="79" t="s">
        <v>26</v>
      </c>
      <c r="D17" s="80">
        <v>3818.19</v>
      </c>
      <c r="E17" s="290">
        <v>1527.2760000000001</v>
      </c>
      <c r="F17" s="290">
        <v>2290.9139999999998</v>
      </c>
      <c r="G17" s="229"/>
      <c r="H17" s="230">
        <f t="shared" si="0"/>
        <v>1527.2760000000001</v>
      </c>
      <c r="I17" s="230">
        <f t="shared" si="1"/>
        <v>2290.9139999999998</v>
      </c>
      <c r="J17" s="99" t="s">
        <v>114</v>
      </c>
      <c r="K17" s="77"/>
      <c r="L17" s="77"/>
    </row>
    <row r="18" spans="1:12" x14ac:dyDescent="0.35">
      <c r="A18" s="198">
        <v>2519355</v>
      </c>
      <c r="B18" s="78" t="s">
        <v>466</v>
      </c>
      <c r="C18" s="79" t="s">
        <v>26</v>
      </c>
      <c r="D18" s="80">
        <v>568</v>
      </c>
      <c r="E18" s="290">
        <v>227.20000000000002</v>
      </c>
      <c r="F18" s="290">
        <v>340.8</v>
      </c>
      <c r="G18" s="229"/>
      <c r="H18" s="230">
        <f t="shared" si="0"/>
        <v>227.20000000000002</v>
      </c>
      <c r="I18" s="230">
        <f t="shared" si="1"/>
        <v>340.8</v>
      </c>
      <c r="J18" s="99" t="s">
        <v>114</v>
      </c>
      <c r="K18" s="77"/>
      <c r="L18" s="77"/>
    </row>
    <row r="19" spans="1:12" x14ac:dyDescent="0.35">
      <c r="A19" s="198">
        <v>2518101</v>
      </c>
      <c r="B19" s="78" t="s">
        <v>85</v>
      </c>
      <c r="C19" s="79" t="s">
        <v>26</v>
      </c>
      <c r="D19" s="80">
        <v>2952</v>
      </c>
      <c r="E19" s="290">
        <v>1180.8</v>
      </c>
      <c r="F19" s="290">
        <v>1771.2</v>
      </c>
      <c r="G19" s="229"/>
      <c r="H19" s="230">
        <f t="shared" si="0"/>
        <v>1180.8</v>
      </c>
      <c r="I19" s="230">
        <f t="shared" si="1"/>
        <v>1771.2</v>
      </c>
      <c r="J19" s="99" t="s">
        <v>114</v>
      </c>
      <c r="K19" s="77"/>
      <c r="L19" s="77"/>
    </row>
    <row r="20" spans="1:12" x14ac:dyDescent="0.35">
      <c r="A20" s="198">
        <v>2518270</v>
      </c>
      <c r="B20" s="78" t="s">
        <v>467</v>
      </c>
      <c r="C20" s="79" t="s">
        <v>26</v>
      </c>
      <c r="D20" s="80"/>
      <c r="E20" s="290">
        <v>0</v>
      </c>
      <c r="F20" s="290">
        <v>0</v>
      </c>
      <c r="G20" s="229"/>
      <c r="H20" s="230">
        <f t="shared" si="0"/>
        <v>0</v>
      </c>
      <c r="I20" s="230">
        <f t="shared" si="1"/>
        <v>0</v>
      </c>
      <c r="J20" s="99" t="s">
        <v>114</v>
      </c>
      <c r="K20" s="77"/>
      <c r="L20" s="77"/>
    </row>
    <row r="21" spans="1:12" x14ac:dyDescent="0.35">
      <c r="A21" s="198">
        <v>2518545</v>
      </c>
      <c r="B21" s="78" t="s">
        <v>468</v>
      </c>
      <c r="C21" s="79" t="s">
        <v>26</v>
      </c>
      <c r="D21" s="80">
        <v>1592.08</v>
      </c>
      <c r="E21" s="290">
        <v>636.83199999999999</v>
      </c>
      <c r="F21" s="290">
        <v>955.24799999999993</v>
      </c>
      <c r="G21" s="229"/>
      <c r="H21" s="230">
        <f t="shared" si="0"/>
        <v>636.83199999999999</v>
      </c>
      <c r="I21" s="230">
        <f t="shared" si="1"/>
        <v>955.24799999999993</v>
      </c>
      <c r="J21" s="99" t="s">
        <v>114</v>
      </c>
      <c r="K21" s="77"/>
      <c r="L21" s="77"/>
    </row>
    <row r="22" spans="1:12" x14ac:dyDescent="0.35">
      <c r="A22" s="198">
        <v>2516979</v>
      </c>
      <c r="B22" s="78" t="s">
        <v>469</v>
      </c>
      <c r="C22" s="79" t="s">
        <v>26</v>
      </c>
      <c r="D22" s="80">
        <v>9958.5</v>
      </c>
      <c r="E22" s="290">
        <v>3983.4</v>
      </c>
      <c r="F22" s="290">
        <v>5975.0999999999995</v>
      </c>
      <c r="G22" s="229"/>
      <c r="H22" s="230">
        <f t="shared" si="0"/>
        <v>3983.4</v>
      </c>
      <c r="I22" s="230">
        <f t="shared" si="1"/>
        <v>5975.0999999999995</v>
      </c>
      <c r="J22" s="99" t="s">
        <v>114</v>
      </c>
      <c r="K22" s="77"/>
      <c r="L22" s="77"/>
    </row>
    <row r="23" spans="1:12" x14ac:dyDescent="0.35">
      <c r="A23" s="198">
        <v>251642</v>
      </c>
      <c r="B23" s="78" t="s">
        <v>460</v>
      </c>
      <c r="C23" s="79" t="s">
        <v>26</v>
      </c>
      <c r="D23" s="80">
        <v>1220.06</v>
      </c>
      <c r="E23" s="290">
        <v>488.024</v>
      </c>
      <c r="F23" s="290">
        <v>732.03599999999994</v>
      </c>
      <c r="G23" s="229"/>
      <c r="H23" s="230">
        <f t="shared" si="0"/>
        <v>488.024</v>
      </c>
      <c r="I23" s="230">
        <f t="shared" si="1"/>
        <v>732.03599999999994</v>
      </c>
      <c r="J23" s="99" t="s">
        <v>114</v>
      </c>
      <c r="K23" s="77"/>
      <c r="L23" s="77"/>
    </row>
    <row r="24" spans="1:12" x14ac:dyDescent="0.35">
      <c r="A24" s="198">
        <v>2519635</v>
      </c>
      <c r="B24" s="78" t="s">
        <v>470</v>
      </c>
      <c r="C24" s="79" t="s">
        <v>26</v>
      </c>
      <c r="D24" s="80">
        <v>87</v>
      </c>
      <c r="E24" s="290">
        <v>34.800000000000004</v>
      </c>
      <c r="F24" s="290">
        <v>52.199999999999996</v>
      </c>
      <c r="G24" s="229"/>
      <c r="H24" s="230">
        <f t="shared" si="0"/>
        <v>34.800000000000004</v>
      </c>
      <c r="I24" s="230">
        <f t="shared" si="1"/>
        <v>52.199999999999996</v>
      </c>
      <c r="J24" s="99" t="s">
        <v>114</v>
      </c>
      <c r="K24" s="77"/>
      <c r="L24" s="77"/>
    </row>
    <row r="25" spans="1:12" x14ac:dyDescent="0.35">
      <c r="A25" s="198">
        <v>251934</v>
      </c>
      <c r="B25" s="78" t="s">
        <v>471</v>
      </c>
      <c r="C25" s="79" t="s">
        <v>26</v>
      </c>
      <c r="D25" s="80">
        <v>694.15</v>
      </c>
      <c r="E25" s="290">
        <v>277.66000000000003</v>
      </c>
      <c r="F25" s="290">
        <v>416.48999999999995</v>
      </c>
      <c r="G25" s="229"/>
      <c r="H25" s="230">
        <f t="shared" si="0"/>
        <v>277.66000000000003</v>
      </c>
      <c r="I25" s="230">
        <f t="shared" si="1"/>
        <v>416.48999999999995</v>
      </c>
      <c r="J25" s="99" t="s">
        <v>114</v>
      </c>
      <c r="K25" s="77"/>
      <c r="L25" s="77"/>
    </row>
    <row r="26" spans="1:12" x14ac:dyDescent="0.35">
      <c r="A26" s="198">
        <v>2517545</v>
      </c>
      <c r="B26" s="78" t="s">
        <v>472</v>
      </c>
      <c r="C26" s="79" t="s">
        <v>26</v>
      </c>
      <c r="D26" s="80">
        <v>2751.157295</v>
      </c>
      <c r="E26" s="290">
        <v>1100.4629179999999</v>
      </c>
      <c r="F26" s="290">
        <v>1650.694377</v>
      </c>
      <c r="G26" s="229"/>
      <c r="H26" s="230">
        <f t="shared" si="0"/>
        <v>1100.4629179999999</v>
      </c>
      <c r="I26" s="230">
        <f t="shared" si="1"/>
        <v>1650.694377</v>
      </c>
      <c r="J26" s="99" t="s">
        <v>114</v>
      </c>
      <c r="K26" s="77"/>
      <c r="L26" s="77"/>
    </row>
    <row r="27" spans="1:12" x14ac:dyDescent="0.35">
      <c r="A27" s="198">
        <v>2518600</v>
      </c>
      <c r="B27" s="78" t="s">
        <v>462</v>
      </c>
      <c r="C27" s="79" t="s">
        <v>26</v>
      </c>
      <c r="D27" s="80">
        <v>68</v>
      </c>
      <c r="E27" s="290">
        <v>27.200000000000003</v>
      </c>
      <c r="F27" s="290">
        <v>40.799999999999997</v>
      </c>
      <c r="G27" s="229"/>
      <c r="H27" s="230">
        <f t="shared" si="0"/>
        <v>27.200000000000003</v>
      </c>
      <c r="I27" s="230">
        <f t="shared" si="1"/>
        <v>40.799999999999997</v>
      </c>
      <c r="J27" s="99" t="s">
        <v>114</v>
      </c>
      <c r="K27" s="77"/>
      <c r="L27" s="77"/>
    </row>
    <row r="28" spans="1:12" x14ac:dyDescent="0.35">
      <c r="A28" s="198">
        <v>2519006</v>
      </c>
      <c r="B28" s="78" t="s">
        <v>473</v>
      </c>
      <c r="C28" s="79" t="s">
        <v>26</v>
      </c>
      <c r="D28" s="80"/>
      <c r="E28" s="290">
        <v>0</v>
      </c>
      <c r="F28" s="290">
        <v>0</v>
      </c>
      <c r="G28" s="229"/>
      <c r="H28" s="230">
        <f t="shared" si="0"/>
        <v>0</v>
      </c>
      <c r="I28" s="230">
        <f t="shared" si="1"/>
        <v>0</v>
      </c>
      <c r="J28" s="99" t="s">
        <v>114</v>
      </c>
      <c r="K28" s="77"/>
      <c r="L28" s="77"/>
    </row>
    <row r="29" spans="1:12" x14ac:dyDescent="0.35">
      <c r="A29" s="198">
        <v>2519760</v>
      </c>
      <c r="B29" s="78" t="s">
        <v>21</v>
      </c>
      <c r="C29" s="79"/>
      <c r="D29" s="80">
        <v>2307</v>
      </c>
      <c r="E29" s="290">
        <v>922.80000000000007</v>
      </c>
      <c r="F29" s="290">
        <v>1384.2</v>
      </c>
      <c r="G29" s="229"/>
      <c r="H29" s="230">
        <f t="shared" si="0"/>
        <v>922.80000000000007</v>
      </c>
      <c r="I29" s="230">
        <f t="shared" si="1"/>
        <v>1384.2</v>
      </c>
      <c r="J29" s="99" t="s">
        <v>114</v>
      </c>
      <c r="K29" s="77"/>
      <c r="L29" s="77"/>
    </row>
    <row r="30" spans="1:12" ht="15" thickBot="1" x14ac:dyDescent="0.4">
      <c r="A30" s="198">
        <v>2518030</v>
      </c>
      <c r="B30" s="276" t="s">
        <v>462</v>
      </c>
      <c r="C30" s="277" t="s">
        <v>26</v>
      </c>
      <c r="D30" s="80">
        <v>2</v>
      </c>
      <c r="E30" s="290">
        <v>0.8</v>
      </c>
      <c r="F30" s="290">
        <v>1.2</v>
      </c>
      <c r="G30" s="278"/>
      <c r="H30" s="230">
        <f t="shared" si="0"/>
        <v>0.8</v>
      </c>
      <c r="I30" s="230">
        <f t="shared" si="1"/>
        <v>1.2</v>
      </c>
      <c r="J30" s="99" t="s">
        <v>114</v>
      </c>
      <c r="K30" s="77"/>
      <c r="L30" s="77"/>
    </row>
    <row r="31" spans="1:12" ht="15.5" thickTop="1" thickBot="1" x14ac:dyDescent="0.4">
      <c r="A31" s="548"/>
      <c r="B31" s="548"/>
      <c r="C31" s="549"/>
      <c r="D31" s="307">
        <f>SUM(D4:D30)</f>
        <v>2441282.0172949992</v>
      </c>
      <c r="E31" s="281">
        <f>SUM(E4:E30)</f>
        <v>841869.76491799997</v>
      </c>
      <c r="F31" s="306">
        <f>SUM(F4:F30)</f>
        <v>1599412.2523770002</v>
      </c>
      <c r="G31" s="279"/>
      <c r="H31" s="280">
        <f>SUM(H4:H30)</f>
        <v>841869.76491799997</v>
      </c>
      <c r="I31" s="280">
        <f>SUM(I4:I30)</f>
        <v>1599412.2523770002</v>
      </c>
      <c r="J31" s="282"/>
    </row>
    <row r="32" spans="1:12" ht="15" thickTop="1" x14ac:dyDescent="0.35">
      <c r="H32" s="77"/>
    </row>
    <row r="33" spans="5:5" x14ac:dyDescent="0.35">
      <c r="E33" s="231"/>
    </row>
  </sheetData>
  <sortState xmlns:xlrd2="http://schemas.microsoft.com/office/spreadsheetml/2017/richdata2" ref="A5:G32">
    <sortCondition descending="1" ref="D5:D32"/>
  </sortState>
  <mergeCells count="10">
    <mergeCell ref="J1:J3"/>
    <mergeCell ref="E2:G2"/>
    <mergeCell ref="H2:I2"/>
    <mergeCell ref="A31:C31"/>
    <mergeCell ref="A1:A3"/>
    <mergeCell ref="B1:B3"/>
    <mergeCell ref="C1:C3"/>
    <mergeCell ref="D1:D3"/>
    <mergeCell ref="E1:G1"/>
    <mergeCell ref="H1:I1"/>
  </mergeCells>
  <conditionalFormatting sqref="A4:A30">
    <cfRule type="duplicateValues" dxfId="62" priority="455"/>
  </conditionalFormatting>
  <conditionalFormatting sqref="A32:A1048576 A1:A30">
    <cfRule type="duplicateValues" dxfId="61" priority="1"/>
  </conditionalFormatting>
  <conditionalFormatting sqref="D1">
    <cfRule type="duplicateValues" dxfId="60" priority="2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A2AF-6F71-46F7-ABF2-63F59F46A9D2}">
  <sheetPr>
    <tabColor rgb="FF00B050"/>
  </sheetPr>
  <dimension ref="A1:P112"/>
  <sheetViews>
    <sheetView workbookViewId="0">
      <selection activeCell="M107" sqref="M107"/>
    </sheetView>
  </sheetViews>
  <sheetFormatPr defaultRowHeight="14.5" x14ac:dyDescent="0.35"/>
  <cols>
    <col min="1" max="1" width="20" style="320" customWidth="1"/>
    <col min="2" max="2" width="12" style="369" customWidth="1"/>
    <col min="3" max="3" width="41.109375" style="320" customWidth="1"/>
    <col min="4" max="4" width="12.21875" style="320" customWidth="1"/>
    <col min="5" max="5" width="19.6640625" style="320" bestFit="1" customWidth="1"/>
    <col min="6" max="8" width="16.6640625" style="369" bestFit="1" customWidth="1"/>
    <col min="9" max="9" width="23.88671875" style="369" bestFit="1" customWidth="1"/>
    <col min="10" max="10" width="16.6640625" style="320" customWidth="1"/>
    <col min="11" max="11" width="14.5546875" style="320" customWidth="1"/>
    <col min="12" max="12" width="18.6640625" style="320" customWidth="1"/>
    <col min="13" max="13" width="17.44140625" style="320" customWidth="1"/>
    <col min="14" max="14" width="17.5546875" style="320" customWidth="1"/>
    <col min="15" max="15" width="18" style="320" bestFit="1" customWidth="1"/>
    <col min="16" max="16" width="20.5546875" style="320" customWidth="1"/>
    <col min="17" max="16384" width="8.88671875" style="320"/>
  </cols>
  <sheetData>
    <row r="1" spans="1:16" ht="20" customHeight="1" thickTop="1" x14ac:dyDescent="0.35">
      <c r="A1" s="577" t="s">
        <v>129</v>
      </c>
      <c r="B1" s="577" t="s">
        <v>23</v>
      </c>
      <c r="C1" s="580" t="s">
        <v>126</v>
      </c>
      <c r="D1" s="583" t="s">
        <v>25</v>
      </c>
      <c r="E1" s="458" t="s">
        <v>1258</v>
      </c>
      <c r="F1" s="586" t="s">
        <v>2</v>
      </c>
      <c r="G1" s="586"/>
      <c r="H1" s="586"/>
      <c r="I1" s="586"/>
      <c r="J1" s="566" t="s">
        <v>16</v>
      </c>
      <c r="K1" s="567"/>
      <c r="L1" s="567"/>
      <c r="M1" s="567"/>
      <c r="N1" s="567"/>
      <c r="O1" s="567"/>
      <c r="P1" s="568"/>
    </row>
    <row r="2" spans="1:16" ht="15.5" customHeight="1" x14ac:dyDescent="0.35">
      <c r="A2" s="578"/>
      <c r="B2" s="578"/>
      <c r="C2" s="581"/>
      <c r="D2" s="584"/>
      <c r="E2" s="459"/>
      <c r="F2" s="569" t="s">
        <v>15</v>
      </c>
      <c r="G2" s="570"/>
      <c r="H2" s="570"/>
      <c r="I2" s="571"/>
      <c r="J2" s="572" t="s">
        <v>15</v>
      </c>
      <c r="K2" s="573"/>
      <c r="L2" s="573"/>
      <c r="M2" s="573"/>
      <c r="N2" s="573"/>
      <c r="O2" s="574"/>
      <c r="P2" s="575" t="s">
        <v>5</v>
      </c>
    </row>
    <row r="3" spans="1:16" ht="24.5" customHeight="1" thickBot="1" x14ac:dyDescent="0.4">
      <c r="A3" s="579"/>
      <c r="B3" s="579"/>
      <c r="C3" s="582"/>
      <c r="D3" s="585"/>
      <c r="E3" s="460"/>
      <c r="F3" s="321" t="s">
        <v>17</v>
      </c>
      <c r="G3" s="321" t="s">
        <v>18</v>
      </c>
      <c r="H3" s="321" t="s">
        <v>19</v>
      </c>
      <c r="I3" s="322" t="s">
        <v>5</v>
      </c>
      <c r="J3" s="323" t="s">
        <v>1257</v>
      </c>
      <c r="K3" s="324" t="s">
        <v>27</v>
      </c>
      <c r="L3" s="325" t="s">
        <v>1259</v>
      </c>
      <c r="M3" s="326" t="s">
        <v>17</v>
      </c>
      <c r="N3" s="327" t="s">
        <v>18</v>
      </c>
      <c r="O3" s="328" t="s">
        <v>19</v>
      </c>
      <c r="P3" s="576"/>
    </row>
    <row r="4" spans="1:16" ht="16" customHeight="1" thickTop="1" x14ac:dyDescent="0.35">
      <c r="A4" s="329" t="s">
        <v>923</v>
      </c>
      <c r="B4" s="329">
        <v>8161</v>
      </c>
      <c r="C4" s="330" t="s">
        <v>29</v>
      </c>
      <c r="D4" s="331" t="s">
        <v>28</v>
      </c>
      <c r="E4" s="332">
        <v>3462488.5965</v>
      </c>
      <c r="F4" s="333"/>
      <c r="G4" s="334"/>
      <c r="H4" s="335">
        <v>3462488.5965</v>
      </c>
      <c r="I4" s="336" t="s">
        <v>14</v>
      </c>
      <c r="J4" s="337">
        <f>VLOOKUP(A4,'[3]MT Over'!$A:$G,7,0)</f>
        <v>10141.067999999999</v>
      </c>
      <c r="K4" s="338"/>
      <c r="L4" s="339">
        <f>E4-J4-K4</f>
        <v>3452347.5285</v>
      </c>
      <c r="M4" s="340">
        <f>L4*0</f>
        <v>0</v>
      </c>
      <c r="N4" s="341">
        <f>L4*0</f>
        <v>0</v>
      </c>
      <c r="O4" s="342">
        <f>L4*1</f>
        <v>3452347.5285</v>
      </c>
      <c r="P4" s="343" t="s">
        <v>454</v>
      </c>
    </row>
    <row r="5" spans="1:16" ht="14.5" customHeight="1" x14ac:dyDescent="0.35">
      <c r="A5" s="344" t="s">
        <v>924</v>
      </c>
      <c r="B5" s="344">
        <v>7564</v>
      </c>
      <c r="C5" s="345" t="s">
        <v>31</v>
      </c>
      <c r="D5" s="346" t="s">
        <v>28</v>
      </c>
      <c r="E5" s="332">
        <v>1550468.8470000001</v>
      </c>
      <c r="F5" s="333">
        <v>620187.5388000001</v>
      </c>
      <c r="G5" s="335">
        <v>155046.88470000002</v>
      </c>
      <c r="H5" s="335">
        <v>775234.42350000003</v>
      </c>
      <c r="I5" s="347"/>
      <c r="J5" s="348">
        <f>VLOOKUP(A5,'[3]MT Over'!$A:$G,7,0)</f>
        <v>38940.460500000001</v>
      </c>
      <c r="K5" s="349"/>
      <c r="L5" s="350">
        <f>E5-J5-K5</f>
        <v>1511528.3865</v>
      </c>
      <c r="M5" s="340">
        <f>L5*0.4</f>
        <v>604611.35460000008</v>
      </c>
      <c r="N5" s="341">
        <f>L5*0.1</f>
        <v>151152.83865000002</v>
      </c>
      <c r="O5" s="342">
        <f>L5*0.5</f>
        <v>755764.19325000001</v>
      </c>
      <c r="P5" s="343" t="s">
        <v>454</v>
      </c>
    </row>
    <row r="6" spans="1:16" x14ac:dyDescent="0.35">
      <c r="A6" s="344" t="s">
        <v>925</v>
      </c>
      <c r="B6" s="344">
        <v>6764</v>
      </c>
      <c r="C6" s="345" t="s">
        <v>30</v>
      </c>
      <c r="D6" s="346" t="s">
        <v>28</v>
      </c>
      <c r="E6" s="332">
        <v>1267847.085</v>
      </c>
      <c r="F6" s="333">
        <v>507138.83400000003</v>
      </c>
      <c r="G6" s="335">
        <v>126784.70850000001</v>
      </c>
      <c r="H6" s="335">
        <v>633923.54249999998</v>
      </c>
      <c r="I6" s="347"/>
      <c r="J6" s="348">
        <f>VLOOKUP(A6,'[3]MT Over'!$A:$G,7,0)</f>
        <v>22405.9365</v>
      </c>
      <c r="K6" s="349"/>
      <c r="L6" s="350">
        <f>E6-J6-K6</f>
        <v>1245441.1484999999</v>
      </c>
      <c r="M6" s="340">
        <f t="shared" ref="M6:M69" si="0">L6*0.4</f>
        <v>498176.45939999999</v>
      </c>
      <c r="N6" s="341">
        <f t="shared" ref="N6:N69" si="1">L6*0.1</f>
        <v>124544.11485</v>
      </c>
      <c r="O6" s="342">
        <f t="shared" ref="O6:O69" si="2">L6*0.5</f>
        <v>622720.57424999995</v>
      </c>
      <c r="P6" s="343" t="s">
        <v>454</v>
      </c>
    </row>
    <row r="7" spans="1:16" x14ac:dyDescent="0.35">
      <c r="A7" s="344" t="s">
        <v>927</v>
      </c>
      <c r="B7" s="344">
        <v>9400</v>
      </c>
      <c r="C7" s="345" t="s">
        <v>34</v>
      </c>
      <c r="D7" s="346" t="s">
        <v>28</v>
      </c>
      <c r="E7" s="332">
        <v>925981.89</v>
      </c>
      <c r="F7" s="333"/>
      <c r="G7" s="333"/>
      <c r="H7" s="335">
        <v>925981.89</v>
      </c>
      <c r="I7" s="347" t="s">
        <v>14</v>
      </c>
      <c r="J7" s="348">
        <f>VLOOKUP(A7,'[3]MT Over'!$A:$G,7,0)</f>
        <v>5160.4485000000004</v>
      </c>
      <c r="K7" s="349"/>
      <c r="L7" s="350">
        <f>E7-J7-K7</f>
        <v>920821.44149999996</v>
      </c>
      <c r="M7" s="340">
        <f>L7*0</f>
        <v>0</v>
      </c>
      <c r="N7" s="341">
        <f>L7*0</f>
        <v>0</v>
      </c>
      <c r="O7" s="342">
        <f>L7*1</f>
        <v>920821.44149999996</v>
      </c>
      <c r="P7" s="343" t="s">
        <v>454</v>
      </c>
    </row>
    <row r="8" spans="1:16" x14ac:dyDescent="0.35">
      <c r="A8" s="344" t="s">
        <v>926</v>
      </c>
      <c r="B8" s="344">
        <v>6710</v>
      </c>
      <c r="C8" s="345" t="s">
        <v>37</v>
      </c>
      <c r="D8" s="346" t="s">
        <v>28</v>
      </c>
      <c r="E8" s="332">
        <v>833925.45</v>
      </c>
      <c r="F8" s="333"/>
      <c r="G8" s="333"/>
      <c r="H8" s="335">
        <v>833925.45</v>
      </c>
      <c r="I8" s="347" t="s">
        <v>14</v>
      </c>
      <c r="J8" s="348">
        <f>VLOOKUP(A8,'[3]MT Over'!$A:$G,7,0)</f>
        <v>0.87</v>
      </c>
      <c r="K8" s="349"/>
      <c r="L8" s="350">
        <f t="shared" ref="L8:L78" si="3">E8-J8-K8</f>
        <v>833924.58</v>
      </c>
      <c r="M8" s="340">
        <f>L8*0</f>
        <v>0</v>
      </c>
      <c r="N8" s="341">
        <f>L8*0</f>
        <v>0</v>
      </c>
      <c r="O8" s="342">
        <f>L8*1</f>
        <v>833924.58</v>
      </c>
      <c r="P8" s="343" t="s">
        <v>454</v>
      </c>
    </row>
    <row r="9" spans="1:16" x14ac:dyDescent="0.35">
      <c r="A9" s="344" t="s">
        <v>928</v>
      </c>
      <c r="B9" s="344">
        <v>8596</v>
      </c>
      <c r="C9" s="345" t="s">
        <v>35</v>
      </c>
      <c r="D9" s="346" t="s">
        <v>28</v>
      </c>
      <c r="E9" s="332">
        <v>502162.95600000001</v>
      </c>
      <c r="F9" s="333">
        <v>200865.18240000002</v>
      </c>
      <c r="G9" s="335">
        <v>50216.295600000005</v>
      </c>
      <c r="H9" s="335">
        <v>251081.478</v>
      </c>
      <c r="I9" s="347"/>
      <c r="J9" s="348">
        <f>VLOOKUP(A9,'[3]MT Over'!$A:$G,7,0)</f>
        <v>366.18299999999999</v>
      </c>
      <c r="K9" s="349"/>
      <c r="L9" s="350">
        <f>E9-J9-K9</f>
        <v>501796.77299999999</v>
      </c>
      <c r="M9" s="340">
        <f t="shared" si="0"/>
        <v>200718.70920000001</v>
      </c>
      <c r="N9" s="341">
        <f t="shared" si="1"/>
        <v>50179.677300000003</v>
      </c>
      <c r="O9" s="342">
        <f t="shared" si="2"/>
        <v>250898.38649999999</v>
      </c>
      <c r="P9" s="343" t="s">
        <v>454</v>
      </c>
    </row>
    <row r="10" spans="1:16" x14ac:dyDescent="0.35">
      <c r="A10" s="344" t="s">
        <v>930</v>
      </c>
      <c r="B10" s="344">
        <v>8496</v>
      </c>
      <c r="C10" s="345" t="s">
        <v>35</v>
      </c>
      <c r="D10" s="346" t="s">
        <v>28</v>
      </c>
      <c r="E10" s="332">
        <v>465045.40649999998</v>
      </c>
      <c r="F10" s="333">
        <v>186018.16260000001</v>
      </c>
      <c r="G10" s="335">
        <v>46504.540650000003</v>
      </c>
      <c r="H10" s="335">
        <v>232522.70324999999</v>
      </c>
      <c r="I10" s="347"/>
      <c r="J10" s="348">
        <f>VLOOKUP(A10,'[3]MT Over'!$A:$G,7,0)</f>
        <v>338.16899999999998</v>
      </c>
      <c r="K10" s="349"/>
      <c r="L10" s="350">
        <f t="shared" si="3"/>
        <v>464707.23749999999</v>
      </c>
      <c r="M10" s="340">
        <f t="shared" si="0"/>
        <v>185882.89500000002</v>
      </c>
      <c r="N10" s="341">
        <f t="shared" si="1"/>
        <v>46470.723750000005</v>
      </c>
      <c r="O10" s="342">
        <f t="shared" si="2"/>
        <v>232353.61874999999</v>
      </c>
      <c r="P10" s="343" t="s">
        <v>454</v>
      </c>
    </row>
    <row r="11" spans="1:16" x14ac:dyDescent="0.35">
      <c r="A11" s="344" t="s">
        <v>929</v>
      </c>
      <c r="B11" s="344">
        <v>8799</v>
      </c>
      <c r="C11" s="345" t="s">
        <v>33</v>
      </c>
      <c r="D11" s="346" t="s">
        <v>28</v>
      </c>
      <c r="E11" s="332">
        <v>456315.04350000003</v>
      </c>
      <c r="F11" s="333">
        <v>182526.01740000001</v>
      </c>
      <c r="G11" s="335">
        <v>45631.504350000003</v>
      </c>
      <c r="H11" s="335">
        <v>228157.52175000001</v>
      </c>
      <c r="I11" s="347"/>
      <c r="J11" s="348">
        <f>VLOOKUP(A11,'[3]MT Over'!$A:$G,7,0)</f>
        <v>21341.665499999999</v>
      </c>
      <c r="K11" s="349"/>
      <c r="L11" s="350">
        <f t="shared" si="3"/>
        <v>434973.37800000003</v>
      </c>
      <c r="M11" s="340">
        <f t="shared" si="0"/>
        <v>173989.35120000003</v>
      </c>
      <c r="N11" s="341">
        <f t="shared" si="1"/>
        <v>43497.337800000008</v>
      </c>
      <c r="O11" s="342">
        <f t="shared" si="2"/>
        <v>217486.68900000001</v>
      </c>
      <c r="P11" s="343" t="s">
        <v>454</v>
      </c>
    </row>
    <row r="12" spans="1:16" x14ac:dyDescent="0.35">
      <c r="A12" s="344" t="s">
        <v>936</v>
      </c>
      <c r="B12" s="344">
        <v>7122</v>
      </c>
      <c r="C12" s="345" t="s">
        <v>48</v>
      </c>
      <c r="D12" s="346" t="s">
        <v>28</v>
      </c>
      <c r="E12" s="332">
        <v>295315.58399999997</v>
      </c>
      <c r="F12" s="333">
        <v>118126.23359999999</v>
      </c>
      <c r="G12" s="333">
        <v>29531.558399999998</v>
      </c>
      <c r="H12" s="335">
        <v>147657.79199999999</v>
      </c>
      <c r="I12" s="347"/>
      <c r="J12" s="348">
        <f>VLOOKUP(A12,'[3]MT Over'!$A:$G,7,0)</f>
        <v>16141.066500000001</v>
      </c>
      <c r="K12" s="349"/>
      <c r="L12" s="350">
        <f t="shared" si="3"/>
        <v>279174.51749999996</v>
      </c>
      <c r="M12" s="340">
        <f t="shared" si="0"/>
        <v>111669.80699999999</v>
      </c>
      <c r="N12" s="341">
        <f t="shared" si="1"/>
        <v>27917.451749999997</v>
      </c>
      <c r="O12" s="342">
        <f t="shared" si="2"/>
        <v>139587.25874999998</v>
      </c>
      <c r="P12" s="343" t="s">
        <v>454</v>
      </c>
    </row>
    <row r="13" spans="1:16" x14ac:dyDescent="0.35">
      <c r="A13" s="344" t="s">
        <v>933</v>
      </c>
      <c r="B13" s="344" t="s">
        <v>934</v>
      </c>
      <c r="C13" s="345" t="s">
        <v>121</v>
      </c>
      <c r="D13" s="346" t="s">
        <v>28</v>
      </c>
      <c r="E13" s="332">
        <v>254658.26550000001</v>
      </c>
      <c r="F13" s="333"/>
      <c r="G13" s="333"/>
      <c r="H13" s="335">
        <v>254658.26550000001</v>
      </c>
      <c r="I13" s="347" t="s">
        <v>14</v>
      </c>
      <c r="J13" s="348">
        <f>VLOOKUP(A13,'[3]MT Over'!$A:$G,7,0)</f>
        <v>0.87</v>
      </c>
      <c r="K13" s="349"/>
      <c r="L13" s="350">
        <f t="shared" si="3"/>
        <v>254657.39550000001</v>
      </c>
      <c r="M13" s="340">
        <f t="shared" ref="M13:M16" si="4">L13*0</f>
        <v>0</v>
      </c>
      <c r="N13" s="341">
        <f t="shared" ref="N13:N16" si="5">L13*0</f>
        <v>0</v>
      </c>
      <c r="O13" s="342">
        <f t="shared" ref="O13:O16" si="6">L13*1</f>
        <v>254657.39550000001</v>
      </c>
      <c r="P13" s="343" t="s">
        <v>454</v>
      </c>
    </row>
    <row r="14" spans="1:16" x14ac:dyDescent="0.35">
      <c r="A14" s="344" t="s">
        <v>935</v>
      </c>
      <c r="B14" s="344">
        <v>9923</v>
      </c>
      <c r="C14" s="345" t="s">
        <v>42</v>
      </c>
      <c r="D14" s="346" t="s">
        <v>28</v>
      </c>
      <c r="E14" s="332">
        <v>236252.06700000001</v>
      </c>
      <c r="F14" s="333"/>
      <c r="G14" s="333"/>
      <c r="H14" s="335">
        <v>236252.06700000001</v>
      </c>
      <c r="I14" s="347" t="s">
        <v>14</v>
      </c>
      <c r="J14" s="348">
        <f>VLOOKUP(A14,'[3]MT Over'!$A:$G,7,0)</f>
        <v>5898.9480000000003</v>
      </c>
      <c r="K14" s="349"/>
      <c r="L14" s="350">
        <f>E14-J14-K14</f>
        <v>230353.11900000001</v>
      </c>
      <c r="M14" s="340">
        <f t="shared" si="4"/>
        <v>0</v>
      </c>
      <c r="N14" s="341">
        <f t="shared" si="5"/>
        <v>0</v>
      </c>
      <c r="O14" s="342">
        <f t="shared" si="6"/>
        <v>230353.11900000001</v>
      </c>
      <c r="P14" s="343" t="s">
        <v>454</v>
      </c>
    </row>
    <row r="15" spans="1:16" x14ac:dyDescent="0.35">
      <c r="A15" s="344" t="s">
        <v>938</v>
      </c>
      <c r="B15" s="344">
        <v>9600</v>
      </c>
      <c r="C15" s="345" t="s">
        <v>38</v>
      </c>
      <c r="D15" s="346" t="s">
        <v>28</v>
      </c>
      <c r="E15" s="332">
        <v>236221.0515</v>
      </c>
      <c r="F15" s="333"/>
      <c r="G15" s="335"/>
      <c r="H15" s="335">
        <v>236221.0515</v>
      </c>
      <c r="I15" s="347" t="s">
        <v>14</v>
      </c>
      <c r="J15" s="348">
        <f>VLOOKUP(A15,'[3]MT Over'!$A:$G,7,0)</f>
        <v>921.46050000000002</v>
      </c>
      <c r="K15" s="349"/>
      <c r="L15" s="350">
        <f t="shared" si="3"/>
        <v>235299.59100000001</v>
      </c>
      <c r="M15" s="340">
        <f t="shared" si="4"/>
        <v>0</v>
      </c>
      <c r="N15" s="341">
        <f t="shared" si="5"/>
        <v>0</v>
      </c>
      <c r="O15" s="342">
        <f t="shared" si="6"/>
        <v>235299.59100000001</v>
      </c>
      <c r="P15" s="343" t="s">
        <v>454</v>
      </c>
    </row>
    <row r="16" spans="1:16" x14ac:dyDescent="0.35">
      <c r="A16" s="344" t="s">
        <v>937</v>
      </c>
      <c r="B16" s="344">
        <v>9565</v>
      </c>
      <c r="C16" s="345" t="s">
        <v>40</v>
      </c>
      <c r="D16" s="346" t="s">
        <v>28</v>
      </c>
      <c r="E16" s="332">
        <v>214067.98050000001</v>
      </c>
      <c r="F16" s="333"/>
      <c r="G16" s="333"/>
      <c r="H16" s="335">
        <v>214067.98050000001</v>
      </c>
      <c r="I16" s="347" t="s">
        <v>14</v>
      </c>
      <c r="J16" s="348">
        <f>VLOOKUP(A16,'[3]MT Over'!$A:$G,7,0)</f>
        <v>4685.3415000000005</v>
      </c>
      <c r="K16" s="349"/>
      <c r="L16" s="350">
        <f t="shared" si="3"/>
        <v>209382.639</v>
      </c>
      <c r="M16" s="340">
        <f t="shared" si="4"/>
        <v>0</v>
      </c>
      <c r="N16" s="341">
        <f t="shared" si="5"/>
        <v>0</v>
      </c>
      <c r="O16" s="342">
        <f t="shared" si="6"/>
        <v>209382.639</v>
      </c>
      <c r="P16" s="343" t="s">
        <v>454</v>
      </c>
    </row>
    <row r="17" spans="1:16" x14ac:dyDescent="0.35">
      <c r="A17" s="344" t="s">
        <v>941</v>
      </c>
      <c r="B17" s="344">
        <v>8571</v>
      </c>
      <c r="C17" s="345" t="s">
        <v>115</v>
      </c>
      <c r="D17" s="346" t="s">
        <v>28</v>
      </c>
      <c r="E17" s="332">
        <v>200054.97750000001</v>
      </c>
      <c r="F17" s="333">
        <v>80021.991000000009</v>
      </c>
      <c r="G17" s="333">
        <v>20005.497750000002</v>
      </c>
      <c r="H17" s="335">
        <v>100027.48875</v>
      </c>
      <c r="I17" s="347"/>
      <c r="J17" s="348">
        <f>VLOOKUP(A17,'[3]MT Over'!$A:$G,7,0)</f>
        <v>103.0515</v>
      </c>
      <c r="K17" s="349"/>
      <c r="L17" s="350">
        <f>E17-J17-K17</f>
        <v>199951.92600000001</v>
      </c>
      <c r="M17" s="340">
        <f t="shared" si="0"/>
        <v>79980.770400000009</v>
      </c>
      <c r="N17" s="341">
        <f t="shared" si="1"/>
        <v>19995.192600000002</v>
      </c>
      <c r="O17" s="342">
        <f t="shared" si="2"/>
        <v>99975.963000000003</v>
      </c>
      <c r="P17" s="343" t="s">
        <v>454</v>
      </c>
    </row>
    <row r="18" spans="1:16" x14ac:dyDescent="0.35">
      <c r="A18" s="344" t="s">
        <v>940</v>
      </c>
      <c r="B18" s="344">
        <v>6569</v>
      </c>
      <c r="C18" s="345" t="s">
        <v>39</v>
      </c>
      <c r="D18" s="346" t="s">
        <v>28</v>
      </c>
      <c r="E18" s="332">
        <v>187855.88099999999</v>
      </c>
      <c r="F18" s="333">
        <v>75142.352400000003</v>
      </c>
      <c r="G18" s="335">
        <v>18785.588100000001</v>
      </c>
      <c r="H18" s="335">
        <v>93927.940499999997</v>
      </c>
      <c r="I18" s="347"/>
      <c r="J18" s="348">
        <f>VLOOKUP(A18,'[3]MT Over'!$A:$G,7,0)</f>
        <v>12666.33</v>
      </c>
      <c r="K18" s="349"/>
      <c r="L18" s="350">
        <f t="shared" si="3"/>
        <v>175189.55100000001</v>
      </c>
      <c r="M18" s="340">
        <f t="shared" si="0"/>
        <v>70075.820400000011</v>
      </c>
      <c r="N18" s="341">
        <f t="shared" si="1"/>
        <v>17518.955100000003</v>
      </c>
      <c r="O18" s="342">
        <f t="shared" si="2"/>
        <v>87594.775500000003</v>
      </c>
      <c r="P18" s="343" t="s">
        <v>454</v>
      </c>
    </row>
    <row r="19" spans="1:16" x14ac:dyDescent="0.35">
      <c r="A19" s="344" t="s">
        <v>943</v>
      </c>
      <c r="B19" s="344">
        <v>8306</v>
      </c>
      <c r="C19" s="345" t="s">
        <v>113</v>
      </c>
      <c r="D19" s="346" t="s">
        <v>28</v>
      </c>
      <c r="E19" s="332">
        <v>159143.53200000001</v>
      </c>
      <c r="F19" s="333">
        <v>63657.412800000006</v>
      </c>
      <c r="G19" s="335">
        <v>15914.353200000001</v>
      </c>
      <c r="H19" s="335">
        <v>79571.766000000003</v>
      </c>
      <c r="I19" s="347"/>
      <c r="J19" s="348">
        <f>VLOOKUP(A19,'[3]MT Over'!$A:$G,7,0)</f>
        <v>9926.9609999999993</v>
      </c>
      <c r="K19" s="349"/>
      <c r="L19" s="350">
        <f t="shared" si="3"/>
        <v>149216.571</v>
      </c>
      <c r="M19" s="340">
        <f t="shared" si="0"/>
        <v>59686.628400000001</v>
      </c>
      <c r="N19" s="341">
        <f t="shared" si="1"/>
        <v>14921.6571</v>
      </c>
      <c r="O19" s="342">
        <f t="shared" si="2"/>
        <v>74608.285499999998</v>
      </c>
      <c r="P19" s="343" t="s">
        <v>454</v>
      </c>
    </row>
    <row r="20" spans="1:16" x14ac:dyDescent="0.35">
      <c r="A20" s="344" t="s">
        <v>955</v>
      </c>
      <c r="B20" s="344">
        <v>7379</v>
      </c>
      <c r="C20" s="345" t="s">
        <v>57</v>
      </c>
      <c r="D20" s="346" t="s">
        <v>28</v>
      </c>
      <c r="E20" s="332">
        <v>143557.74299999999</v>
      </c>
      <c r="F20" s="333">
        <v>57423.097199999997</v>
      </c>
      <c r="G20" s="335">
        <v>14355.774299999999</v>
      </c>
      <c r="H20" s="335">
        <v>71778.871499999994</v>
      </c>
      <c r="I20" s="347"/>
      <c r="J20" s="348">
        <f>VLOOKUP(A20,'[3]MT Over'!$A:$G,7,0)</f>
        <v>5944.9709999999995</v>
      </c>
      <c r="K20" s="349"/>
      <c r="L20" s="350">
        <f t="shared" si="3"/>
        <v>137612.772</v>
      </c>
      <c r="M20" s="340">
        <f t="shared" si="0"/>
        <v>55045.108800000002</v>
      </c>
      <c r="N20" s="341">
        <f t="shared" si="1"/>
        <v>13761.2772</v>
      </c>
      <c r="O20" s="342">
        <f t="shared" si="2"/>
        <v>68806.385999999999</v>
      </c>
      <c r="P20" s="343" t="s">
        <v>454</v>
      </c>
    </row>
    <row r="21" spans="1:16" x14ac:dyDescent="0.35">
      <c r="A21" s="344" t="s">
        <v>944</v>
      </c>
      <c r="B21" s="344">
        <v>7335</v>
      </c>
      <c r="C21" s="345" t="s">
        <v>75</v>
      </c>
      <c r="D21" s="346" t="s">
        <v>28</v>
      </c>
      <c r="E21" s="332">
        <v>139565.74799999999</v>
      </c>
      <c r="F21" s="333"/>
      <c r="G21" s="335"/>
      <c r="H21" s="335">
        <v>139565.74799999999</v>
      </c>
      <c r="I21" s="347" t="s">
        <v>14</v>
      </c>
      <c r="J21" s="348">
        <f>VLOOKUP(A21,'[3]MT Over'!$A:$G,7,0)</f>
        <v>171.0855</v>
      </c>
      <c r="K21" s="349"/>
      <c r="L21" s="350">
        <f t="shared" si="3"/>
        <v>139394.66250000001</v>
      </c>
      <c r="M21" s="340">
        <f>L21*0</f>
        <v>0</v>
      </c>
      <c r="N21" s="341">
        <f>L21*0</f>
        <v>0</v>
      </c>
      <c r="O21" s="342">
        <f>L21*1</f>
        <v>139394.66250000001</v>
      </c>
      <c r="P21" s="343" t="s">
        <v>454</v>
      </c>
    </row>
    <row r="22" spans="1:16" x14ac:dyDescent="0.35">
      <c r="A22" s="344" t="s">
        <v>945</v>
      </c>
      <c r="B22" s="344">
        <v>8597</v>
      </c>
      <c r="C22" s="345" t="s">
        <v>45</v>
      </c>
      <c r="D22" s="346" t="s">
        <v>28</v>
      </c>
      <c r="E22" s="332">
        <v>130665.3</v>
      </c>
      <c r="F22" s="333">
        <v>52266.12</v>
      </c>
      <c r="G22" s="335">
        <v>13066.53</v>
      </c>
      <c r="H22" s="335">
        <v>65332.65</v>
      </c>
      <c r="I22" s="347"/>
      <c r="J22" s="348">
        <f>VLOOKUP(A22,'[3]MT Over'!$A:$G,7,0)</f>
        <v>90.045000000000002</v>
      </c>
      <c r="K22" s="349"/>
      <c r="L22" s="350">
        <f>E22-J22-K22</f>
        <v>130575.255</v>
      </c>
      <c r="M22" s="340">
        <f t="shared" si="0"/>
        <v>52230.102000000006</v>
      </c>
      <c r="N22" s="341">
        <f t="shared" si="1"/>
        <v>13057.525500000002</v>
      </c>
      <c r="O22" s="342">
        <f t="shared" si="2"/>
        <v>65287.627500000002</v>
      </c>
      <c r="P22" s="343" t="s">
        <v>454</v>
      </c>
    </row>
    <row r="23" spans="1:16" x14ac:dyDescent="0.35">
      <c r="A23" s="344" t="s">
        <v>947</v>
      </c>
      <c r="B23" s="344">
        <v>8320</v>
      </c>
      <c r="C23" s="345" t="s">
        <v>948</v>
      </c>
      <c r="D23" s="346" t="s">
        <v>28</v>
      </c>
      <c r="E23" s="332">
        <v>125526.732</v>
      </c>
      <c r="F23" s="333">
        <v>50210.692800000004</v>
      </c>
      <c r="G23" s="335">
        <v>12552.673200000001</v>
      </c>
      <c r="H23" s="335">
        <v>62763.366000000002</v>
      </c>
      <c r="I23" s="347"/>
      <c r="J23" s="348">
        <f>VLOOKUP(A23,'[3]MT Over'!$A:$G,7,0)</f>
        <v>8056.0259999999998</v>
      </c>
      <c r="K23" s="349"/>
      <c r="L23" s="350">
        <f t="shared" si="3"/>
        <v>117470.70600000001</v>
      </c>
      <c r="M23" s="340">
        <f t="shared" si="0"/>
        <v>46988.282400000004</v>
      </c>
      <c r="N23" s="341">
        <f t="shared" si="1"/>
        <v>11747.070600000001</v>
      </c>
      <c r="O23" s="342">
        <f t="shared" si="2"/>
        <v>58735.353000000003</v>
      </c>
      <c r="P23" s="343" t="s">
        <v>454</v>
      </c>
    </row>
    <row r="24" spans="1:16" x14ac:dyDescent="0.35">
      <c r="A24" s="344" t="s">
        <v>946</v>
      </c>
      <c r="B24" s="344">
        <v>9616</v>
      </c>
      <c r="C24" s="345" t="s">
        <v>99</v>
      </c>
      <c r="D24" s="346" t="s">
        <v>28</v>
      </c>
      <c r="E24" s="332">
        <v>124988.463</v>
      </c>
      <c r="F24" s="333"/>
      <c r="G24" s="335"/>
      <c r="H24" s="335">
        <v>124988.463</v>
      </c>
      <c r="I24" s="347" t="s">
        <v>14</v>
      </c>
      <c r="J24" s="348">
        <f>VLOOKUP(A24,'[3]MT Over'!$A:$G,7,0)</f>
        <v>132.066</v>
      </c>
      <c r="K24" s="349"/>
      <c r="L24" s="350">
        <f t="shared" si="3"/>
        <v>124856.397</v>
      </c>
      <c r="M24" s="340">
        <f>L24*0</f>
        <v>0</v>
      </c>
      <c r="N24" s="341">
        <f>L24*0</f>
        <v>0</v>
      </c>
      <c r="O24" s="342">
        <f>L24*1</f>
        <v>124856.397</v>
      </c>
      <c r="P24" s="343" t="s">
        <v>454</v>
      </c>
    </row>
    <row r="25" spans="1:16" x14ac:dyDescent="0.35">
      <c r="A25" s="344" t="s">
        <v>950</v>
      </c>
      <c r="B25" s="344" t="s">
        <v>951</v>
      </c>
      <c r="C25" s="345" t="s">
        <v>952</v>
      </c>
      <c r="D25" s="346" t="s">
        <v>28</v>
      </c>
      <c r="E25" s="332">
        <v>107323.63499999999</v>
      </c>
      <c r="F25" s="333">
        <v>42929.453999999998</v>
      </c>
      <c r="G25" s="335">
        <v>10732.363499999999</v>
      </c>
      <c r="H25" s="335">
        <v>53661.817499999997</v>
      </c>
      <c r="I25" s="347"/>
      <c r="J25" s="348">
        <f>VLOOKUP(A25,'[3]MT Over'!$A:$G,7,0)</f>
        <v>7026.5114999999996</v>
      </c>
      <c r="K25" s="349"/>
      <c r="L25" s="350">
        <f t="shared" si="3"/>
        <v>100297.1235</v>
      </c>
      <c r="M25" s="340">
        <f t="shared" si="0"/>
        <v>40118.849400000006</v>
      </c>
      <c r="N25" s="341">
        <f t="shared" si="1"/>
        <v>10029.712350000002</v>
      </c>
      <c r="O25" s="342">
        <f t="shared" si="2"/>
        <v>50148.561750000001</v>
      </c>
      <c r="P25" s="343" t="s">
        <v>454</v>
      </c>
    </row>
    <row r="26" spans="1:16" x14ac:dyDescent="0.35">
      <c r="A26" s="344" t="s">
        <v>957</v>
      </c>
      <c r="B26" s="344">
        <v>6833</v>
      </c>
      <c r="C26" s="345" t="s">
        <v>61</v>
      </c>
      <c r="D26" s="346" t="s">
        <v>28</v>
      </c>
      <c r="E26" s="332">
        <v>104476.0815</v>
      </c>
      <c r="F26" s="333">
        <v>10447.60815</v>
      </c>
      <c r="G26" s="335"/>
      <c r="H26" s="335">
        <v>94028.47335</v>
      </c>
      <c r="I26" s="347" t="s">
        <v>41</v>
      </c>
      <c r="J26" s="348">
        <f>VLOOKUP(A26,'[3]MT Over'!$A:$G,7,0)</f>
        <v>696.34799999999996</v>
      </c>
      <c r="K26" s="349"/>
      <c r="L26" s="350">
        <f t="shared" si="3"/>
        <v>103779.7335</v>
      </c>
      <c r="M26" s="340">
        <f>L26*0.1</f>
        <v>10377.97335</v>
      </c>
      <c r="N26" s="341">
        <f>L26*0</f>
        <v>0</v>
      </c>
      <c r="O26" s="342">
        <f>L26*0.9</f>
        <v>93401.760150000002</v>
      </c>
      <c r="P26" s="343" t="s">
        <v>454</v>
      </c>
    </row>
    <row r="27" spans="1:16" x14ac:dyDescent="0.35">
      <c r="A27" s="344" t="s">
        <v>956</v>
      </c>
      <c r="B27" s="344">
        <v>6860</v>
      </c>
      <c r="C27" s="345" t="s">
        <v>111</v>
      </c>
      <c r="D27" s="346" t="s">
        <v>28</v>
      </c>
      <c r="E27" s="332">
        <v>100842.39599999999</v>
      </c>
      <c r="F27" s="333"/>
      <c r="G27" s="335"/>
      <c r="H27" s="335">
        <v>100842.39599999999</v>
      </c>
      <c r="I27" s="347" t="s">
        <v>14</v>
      </c>
      <c r="J27" s="348">
        <f>VLOOKUP(A27,'[3]MT Over'!$A:$G,7,0)</f>
        <v>351.1755</v>
      </c>
      <c r="K27" s="349"/>
      <c r="L27" s="350">
        <f t="shared" si="3"/>
        <v>100491.2205</v>
      </c>
      <c r="M27" s="340">
        <f>L27*0</f>
        <v>0</v>
      </c>
      <c r="N27" s="341">
        <f>L27*0</f>
        <v>0</v>
      </c>
      <c r="O27" s="342">
        <f>L27*1</f>
        <v>100491.2205</v>
      </c>
      <c r="P27" s="343" t="s">
        <v>454</v>
      </c>
    </row>
    <row r="28" spans="1:16" x14ac:dyDescent="0.35">
      <c r="A28" s="344" t="s">
        <v>953</v>
      </c>
      <c r="B28" s="344">
        <v>9932</v>
      </c>
      <c r="C28" s="345" t="s">
        <v>49</v>
      </c>
      <c r="D28" s="346" t="s">
        <v>28</v>
      </c>
      <c r="E28" s="332">
        <v>97340.645999999993</v>
      </c>
      <c r="F28" s="333">
        <v>38936.258399999999</v>
      </c>
      <c r="G28" s="335">
        <v>9734.0645999999997</v>
      </c>
      <c r="H28" s="335">
        <v>48670.322999999997</v>
      </c>
      <c r="I28" s="347"/>
      <c r="J28" s="348">
        <f>VLOOKUP(A28,'[3]MT Over'!$A:$G,7,0)</f>
        <v>6962.4795000000004</v>
      </c>
      <c r="K28" s="349"/>
      <c r="L28" s="350">
        <f t="shared" si="3"/>
        <v>90378.166499999992</v>
      </c>
      <c r="M28" s="340">
        <f t="shared" si="0"/>
        <v>36151.266599999995</v>
      </c>
      <c r="N28" s="341">
        <f t="shared" si="1"/>
        <v>9037.8166499999988</v>
      </c>
      <c r="O28" s="342">
        <f t="shared" si="2"/>
        <v>45189.083249999996</v>
      </c>
      <c r="P28" s="343" t="s">
        <v>454</v>
      </c>
    </row>
    <row r="29" spans="1:16" x14ac:dyDescent="0.35">
      <c r="A29" s="344" t="s">
        <v>958</v>
      </c>
      <c r="B29" s="344">
        <v>6049</v>
      </c>
      <c r="C29" s="345" t="s">
        <v>109</v>
      </c>
      <c r="D29" s="346" t="s">
        <v>28</v>
      </c>
      <c r="E29" s="332">
        <v>80588.274000000005</v>
      </c>
      <c r="F29" s="333">
        <v>32235.309600000004</v>
      </c>
      <c r="G29" s="335">
        <v>8058.827400000001</v>
      </c>
      <c r="H29" s="335">
        <v>40294.137000000002</v>
      </c>
      <c r="I29" s="347"/>
      <c r="J29" s="348">
        <f>VLOOKUP(A29,'[3]MT Over'!$A:$G,7,0)</f>
        <v>4070.0340000000001</v>
      </c>
      <c r="K29" s="349"/>
      <c r="L29" s="350">
        <f t="shared" si="3"/>
        <v>76518.240000000005</v>
      </c>
      <c r="M29" s="340">
        <f t="shared" si="0"/>
        <v>30607.296000000002</v>
      </c>
      <c r="N29" s="341">
        <f t="shared" si="1"/>
        <v>7651.8240000000005</v>
      </c>
      <c r="O29" s="342">
        <f t="shared" si="2"/>
        <v>38259.120000000003</v>
      </c>
      <c r="P29" s="343" t="s">
        <v>454</v>
      </c>
    </row>
    <row r="30" spans="1:16" x14ac:dyDescent="0.35">
      <c r="A30" s="344" t="s">
        <v>960</v>
      </c>
      <c r="B30" s="344">
        <v>6817</v>
      </c>
      <c r="C30" s="345" t="s">
        <v>110</v>
      </c>
      <c r="D30" s="346" t="s">
        <v>28</v>
      </c>
      <c r="E30" s="332">
        <v>75899.930999999997</v>
      </c>
      <c r="F30" s="333">
        <v>30359.972399999999</v>
      </c>
      <c r="G30" s="335">
        <v>7589.9930999999997</v>
      </c>
      <c r="H30" s="335">
        <v>37949.965499999998</v>
      </c>
      <c r="I30" s="347"/>
      <c r="J30" s="348">
        <f>VLOOKUP(A30,'[3]MT Over'!$A:$G,7,0)</f>
        <v>4863.4305000000004</v>
      </c>
      <c r="K30" s="349"/>
      <c r="L30" s="350">
        <f t="shared" si="3"/>
        <v>71036.500499999995</v>
      </c>
      <c r="M30" s="340">
        <f t="shared" si="0"/>
        <v>28414.600200000001</v>
      </c>
      <c r="N30" s="341">
        <f t="shared" si="1"/>
        <v>7103.6500500000002</v>
      </c>
      <c r="O30" s="342">
        <f t="shared" si="2"/>
        <v>35518.250249999997</v>
      </c>
      <c r="P30" s="343" t="s">
        <v>454</v>
      </c>
    </row>
    <row r="31" spans="1:16" x14ac:dyDescent="0.35">
      <c r="A31" s="344" t="s">
        <v>949</v>
      </c>
      <c r="B31" s="344">
        <v>6691</v>
      </c>
      <c r="C31" s="345" t="s">
        <v>44</v>
      </c>
      <c r="D31" s="346" t="s">
        <v>28</v>
      </c>
      <c r="E31" s="332">
        <v>73231.597500000003</v>
      </c>
      <c r="F31" s="333">
        <v>29292.639000000003</v>
      </c>
      <c r="G31" s="335">
        <v>7323.1597500000007</v>
      </c>
      <c r="H31" s="335">
        <v>36615.798750000002</v>
      </c>
      <c r="I31" s="347"/>
      <c r="J31" s="348">
        <f>VLOOKUP(A31,'[3]MT Over'!$A:$G,7,0)</f>
        <v>53.026499999999999</v>
      </c>
      <c r="K31" s="349"/>
      <c r="L31" s="350">
        <f t="shared" si="3"/>
        <v>73178.570999999996</v>
      </c>
      <c r="M31" s="340">
        <f t="shared" si="0"/>
        <v>29271.428400000001</v>
      </c>
      <c r="N31" s="341">
        <f t="shared" si="1"/>
        <v>7317.8571000000002</v>
      </c>
      <c r="O31" s="342">
        <f t="shared" si="2"/>
        <v>36589.285499999998</v>
      </c>
      <c r="P31" s="343" t="s">
        <v>454</v>
      </c>
    </row>
    <row r="32" spans="1:16" x14ac:dyDescent="0.35">
      <c r="A32" s="344" t="s">
        <v>959</v>
      </c>
      <c r="B32" s="344">
        <v>8863</v>
      </c>
      <c r="C32" s="345" t="s">
        <v>113</v>
      </c>
      <c r="D32" s="346" t="s">
        <v>26</v>
      </c>
      <c r="E32" s="332">
        <v>72449.2065</v>
      </c>
      <c r="F32" s="333">
        <v>28979.6826</v>
      </c>
      <c r="G32" s="335">
        <v>7244.92065</v>
      </c>
      <c r="H32" s="335">
        <v>36224.60325</v>
      </c>
      <c r="I32" s="347"/>
      <c r="J32" s="348"/>
      <c r="K32" s="349"/>
      <c r="L32" s="350">
        <f t="shared" si="3"/>
        <v>72449.2065</v>
      </c>
      <c r="M32" s="340">
        <f t="shared" si="0"/>
        <v>28979.6826</v>
      </c>
      <c r="N32" s="341">
        <f t="shared" si="1"/>
        <v>7244.92065</v>
      </c>
      <c r="O32" s="342">
        <f t="shared" si="2"/>
        <v>36224.60325</v>
      </c>
      <c r="P32" s="343" t="s">
        <v>454</v>
      </c>
    </row>
    <row r="33" spans="1:16" x14ac:dyDescent="0.35">
      <c r="A33" s="344" t="s">
        <v>961</v>
      </c>
      <c r="B33" s="344">
        <v>6901</v>
      </c>
      <c r="C33" s="345" t="s">
        <v>112</v>
      </c>
      <c r="D33" s="346" t="s">
        <v>28</v>
      </c>
      <c r="E33" s="332">
        <v>70890.427500000005</v>
      </c>
      <c r="F33" s="333">
        <v>28356.171000000002</v>
      </c>
      <c r="G33" s="335">
        <v>7089.0427500000005</v>
      </c>
      <c r="H33" s="335">
        <v>35445.213750000003</v>
      </c>
      <c r="I33" s="347"/>
      <c r="J33" s="348">
        <f>VLOOKUP(A33,'[3]MT Over'!$A:$G,7,0)</f>
        <v>4384.1909999999998</v>
      </c>
      <c r="K33" s="349"/>
      <c r="L33" s="350">
        <f t="shared" si="3"/>
        <v>66506.236499999999</v>
      </c>
      <c r="M33" s="340">
        <f t="shared" si="0"/>
        <v>26602.494600000002</v>
      </c>
      <c r="N33" s="341">
        <f t="shared" si="1"/>
        <v>6650.6236500000005</v>
      </c>
      <c r="O33" s="342">
        <f t="shared" si="2"/>
        <v>33253.11825</v>
      </c>
      <c r="P33" s="343" t="s">
        <v>454</v>
      </c>
    </row>
    <row r="34" spans="1:16" x14ac:dyDescent="0.35">
      <c r="A34" s="344" t="s">
        <v>962</v>
      </c>
      <c r="B34" s="344">
        <v>9938</v>
      </c>
      <c r="C34" s="345" t="s">
        <v>63</v>
      </c>
      <c r="D34" s="346" t="s">
        <v>28</v>
      </c>
      <c r="E34" s="332">
        <v>57089.530500000001</v>
      </c>
      <c r="F34" s="333">
        <v>5708.9530500000001</v>
      </c>
      <c r="G34" s="335"/>
      <c r="H34" s="335">
        <v>51380.577450000004</v>
      </c>
      <c r="I34" s="347" t="s">
        <v>41</v>
      </c>
      <c r="J34" s="348">
        <f>VLOOKUP(A34,'[3]MT Over'!$A:$G,7,0)</f>
        <v>470.23500000000001</v>
      </c>
      <c r="K34" s="349"/>
      <c r="L34" s="350">
        <f t="shared" si="3"/>
        <v>56619.2955</v>
      </c>
      <c r="M34" s="340">
        <f>L34*0.1</f>
        <v>5661.9295500000007</v>
      </c>
      <c r="N34" s="341">
        <f>L34*0</f>
        <v>0</v>
      </c>
      <c r="O34" s="342">
        <f>L34*0.9</f>
        <v>50957.365949999999</v>
      </c>
      <c r="P34" s="343" t="s">
        <v>454</v>
      </c>
    </row>
    <row r="35" spans="1:16" x14ac:dyDescent="0.35">
      <c r="A35" s="344" t="s">
        <v>965</v>
      </c>
      <c r="B35" s="344">
        <v>8930</v>
      </c>
      <c r="C35" s="345" t="s">
        <v>66</v>
      </c>
      <c r="D35" s="346" t="s">
        <v>28</v>
      </c>
      <c r="E35" s="332">
        <v>52883.428500000002</v>
      </c>
      <c r="F35" s="333">
        <v>21153.371400000004</v>
      </c>
      <c r="G35" s="335">
        <v>5288.3428500000009</v>
      </c>
      <c r="H35" s="335">
        <v>26441.714250000001</v>
      </c>
      <c r="I35" s="347"/>
      <c r="J35" s="348">
        <f>VLOOKUP(A35,'[3]MT Over'!$A:$G,7,0)</f>
        <v>36.018000000000001</v>
      </c>
      <c r="K35" s="349"/>
      <c r="L35" s="350">
        <f t="shared" si="3"/>
        <v>52847.410500000005</v>
      </c>
      <c r="M35" s="340">
        <f t="shared" si="0"/>
        <v>21138.964200000002</v>
      </c>
      <c r="N35" s="341">
        <f t="shared" si="1"/>
        <v>5284.7410500000005</v>
      </c>
      <c r="O35" s="342">
        <f t="shared" si="2"/>
        <v>26423.705250000003</v>
      </c>
      <c r="P35" s="343" t="s">
        <v>454</v>
      </c>
    </row>
    <row r="36" spans="1:16" x14ac:dyDescent="0.35">
      <c r="A36" s="344" t="s">
        <v>966</v>
      </c>
      <c r="B36" s="344" t="s">
        <v>967</v>
      </c>
      <c r="C36" s="345" t="s">
        <v>124</v>
      </c>
      <c r="D36" s="346" t="s">
        <v>28</v>
      </c>
      <c r="E36" s="332">
        <v>52626.3</v>
      </c>
      <c r="F36" s="333">
        <v>5262.630000000001</v>
      </c>
      <c r="G36" s="335"/>
      <c r="H36" s="335">
        <v>47363.670000000006</v>
      </c>
      <c r="I36" s="347" t="s">
        <v>41</v>
      </c>
      <c r="J36" s="348">
        <f>VLOOKUP(A36,'[3]MT Over'!$A:$G,7,0)</f>
        <v>1239.6195</v>
      </c>
      <c r="K36" s="349"/>
      <c r="L36" s="350">
        <f t="shared" si="3"/>
        <v>51386.680500000002</v>
      </c>
      <c r="M36" s="340">
        <f>L36*0.1</f>
        <v>5138.6680500000002</v>
      </c>
      <c r="N36" s="341">
        <f>L36*0</f>
        <v>0</v>
      </c>
      <c r="O36" s="342">
        <f>L36*0.9</f>
        <v>46248.012450000002</v>
      </c>
      <c r="P36" s="343" t="s">
        <v>454</v>
      </c>
    </row>
    <row r="37" spans="1:16" x14ac:dyDescent="0.35">
      <c r="A37" s="344" t="s">
        <v>1003</v>
      </c>
      <c r="B37" s="344">
        <v>8925</v>
      </c>
      <c r="C37" s="345" t="s">
        <v>1004</v>
      </c>
      <c r="D37" s="346" t="s">
        <v>28</v>
      </c>
      <c r="E37" s="332">
        <v>48861.4185</v>
      </c>
      <c r="F37" s="333"/>
      <c r="G37" s="335"/>
      <c r="H37" s="335">
        <v>48861.4185</v>
      </c>
      <c r="I37" s="347" t="s">
        <v>14</v>
      </c>
      <c r="J37" s="348">
        <f>VLOOKUP(A37,'[3]MT Over'!$A:$G,7,0)</f>
        <v>921.46050000000002</v>
      </c>
      <c r="K37" s="349"/>
      <c r="L37" s="350">
        <f t="shared" si="3"/>
        <v>47939.957999999999</v>
      </c>
      <c r="M37" s="340">
        <f>L37*0</f>
        <v>0</v>
      </c>
      <c r="N37" s="341">
        <f>L37*0</f>
        <v>0</v>
      </c>
      <c r="O37" s="342">
        <f>L37*1</f>
        <v>47939.957999999999</v>
      </c>
      <c r="P37" s="343" t="s">
        <v>454</v>
      </c>
    </row>
    <row r="38" spans="1:16" x14ac:dyDescent="0.35">
      <c r="A38" s="344" t="s">
        <v>968</v>
      </c>
      <c r="B38" s="344">
        <v>6341</v>
      </c>
      <c r="C38" s="345" t="s">
        <v>969</v>
      </c>
      <c r="D38" s="346" t="s">
        <v>28</v>
      </c>
      <c r="E38" s="332">
        <v>38568.2745</v>
      </c>
      <c r="F38" s="333">
        <v>15427.309800000001</v>
      </c>
      <c r="G38" s="335">
        <v>3856.8274500000002</v>
      </c>
      <c r="H38" s="335">
        <v>19284.13725</v>
      </c>
      <c r="I38" s="347"/>
      <c r="J38" s="348">
        <f>VLOOKUP(A38,'[3]MT Over'!$A:$G,7,0)</f>
        <v>60.03</v>
      </c>
      <c r="K38" s="349"/>
      <c r="L38" s="350">
        <f t="shared" si="3"/>
        <v>38508.244500000001</v>
      </c>
      <c r="M38" s="340">
        <f t="shared" si="0"/>
        <v>15403.2978</v>
      </c>
      <c r="N38" s="341">
        <f t="shared" si="1"/>
        <v>3850.8244500000001</v>
      </c>
      <c r="O38" s="342">
        <f t="shared" si="2"/>
        <v>19254.12225</v>
      </c>
      <c r="P38" s="343" t="s">
        <v>454</v>
      </c>
    </row>
    <row r="39" spans="1:16" x14ac:dyDescent="0.35">
      <c r="A39" s="344" t="s">
        <v>973</v>
      </c>
      <c r="B39" s="344">
        <v>7500</v>
      </c>
      <c r="C39" s="345" t="s">
        <v>70</v>
      </c>
      <c r="D39" s="346" t="s">
        <v>28</v>
      </c>
      <c r="E39" s="332">
        <v>38268.124499999998</v>
      </c>
      <c r="F39" s="333">
        <v>3826.8124499999999</v>
      </c>
      <c r="G39" s="335"/>
      <c r="H39" s="335">
        <v>34441.31205</v>
      </c>
      <c r="I39" s="347" t="s">
        <v>41</v>
      </c>
      <c r="J39" s="348">
        <f>VLOOKUP(A39,'[3]MT Over'!$A:$G,7,0)</f>
        <v>951.47550000000001</v>
      </c>
      <c r="K39" s="349"/>
      <c r="L39" s="350">
        <f t="shared" si="3"/>
        <v>37316.648999999998</v>
      </c>
      <c r="M39" s="340">
        <f t="shared" ref="M39:M40" si="7">L39*0.1</f>
        <v>3731.6648999999998</v>
      </c>
      <c r="N39" s="341">
        <f t="shared" ref="N39:N40" si="8">L39*0</f>
        <v>0</v>
      </c>
      <c r="O39" s="342">
        <f t="shared" ref="O39:O40" si="9">L39*0.9</f>
        <v>33584.984100000001</v>
      </c>
      <c r="P39" s="343" t="s">
        <v>454</v>
      </c>
    </row>
    <row r="40" spans="1:16" x14ac:dyDescent="0.35">
      <c r="A40" s="344" t="s">
        <v>971</v>
      </c>
      <c r="B40" s="344" t="s">
        <v>972</v>
      </c>
      <c r="C40" s="345" t="s">
        <v>122</v>
      </c>
      <c r="D40" s="346" t="s">
        <v>28</v>
      </c>
      <c r="E40" s="332">
        <v>37362.671999999999</v>
      </c>
      <c r="F40" s="333">
        <v>3736.2672000000002</v>
      </c>
      <c r="G40" s="335"/>
      <c r="H40" s="335">
        <v>33626.404799999997</v>
      </c>
      <c r="I40" s="347" t="s">
        <v>41</v>
      </c>
      <c r="J40" s="348">
        <f>VLOOKUP(A40,'[3]MT Over'!$A:$G,7,0)</f>
        <v>839.41949999999997</v>
      </c>
      <c r="K40" s="349"/>
      <c r="L40" s="350">
        <f t="shared" si="3"/>
        <v>36523.252500000002</v>
      </c>
      <c r="M40" s="340">
        <f t="shared" si="7"/>
        <v>3652.3252500000003</v>
      </c>
      <c r="N40" s="341">
        <f t="shared" si="8"/>
        <v>0</v>
      </c>
      <c r="O40" s="342">
        <f t="shared" si="9"/>
        <v>32870.927250000001</v>
      </c>
      <c r="P40" s="343" t="s">
        <v>454</v>
      </c>
    </row>
    <row r="41" spans="1:16" x14ac:dyDescent="0.35">
      <c r="A41" s="344" t="s">
        <v>970</v>
      </c>
      <c r="B41" s="344">
        <v>8185</v>
      </c>
      <c r="C41" s="345" t="s">
        <v>71</v>
      </c>
      <c r="D41" s="346" t="s">
        <v>28</v>
      </c>
      <c r="E41" s="332">
        <v>35671.826999999997</v>
      </c>
      <c r="F41" s="333">
        <v>14268.730799999999</v>
      </c>
      <c r="G41" s="335">
        <v>3567.1826999999998</v>
      </c>
      <c r="H41" s="335">
        <v>17835.913499999999</v>
      </c>
      <c r="I41" s="347"/>
      <c r="J41" s="348">
        <f>VLOOKUP(A41,'[3]MT Over'!$A:$G,7,0)</f>
        <v>36.018000000000001</v>
      </c>
      <c r="K41" s="349"/>
      <c r="L41" s="350">
        <f t="shared" si="3"/>
        <v>35635.809000000001</v>
      </c>
      <c r="M41" s="340">
        <f t="shared" si="0"/>
        <v>14254.323600000002</v>
      </c>
      <c r="N41" s="341">
        <f t="shared" si="1"/>
        <v>3563.5809000000004</v>
      </c>
      <c r="O41" s="342">
        <f t="shared" si="2"/>
        <v>17817.904500000001</v>
      </c>
      <c r="P41" s="343" t="s">
        <v>454</v>
      </c>
    </row>
    <row r="42" spans="1:16" x14ac:dyDescent="0.35">
      <c r="A42" s="344" t="s">
        <v>976</v>
      </c>
      <c r="B42" s="344">
        <v>9757</v>
      </c>
      <c r="C42" s="345" t="s">
        <v>76</v>
      </c>
      <c r="D42" s="346" t="s">
        <v>28</v>
      </c>
      <c r="E42" s="332">
        <v>32641.3125</v>
      </c>
      <c r="F42" s="333">
        <v>3264.1312500000004</v>
      </c>
      <c r="G42" s="335"/>
      <c r="H42" s="335">
        <v>29377.181250000001</v>
      </c>
      <c r="I42" s="347" t="s">
        <v>41</v>
      </c>
      <c r="J42" s="348">
        <f>VLOOKUP(A42,'[3]MT Over'!$A:$G,7,0)</f>
        <v>464.23200000000003</v>
      </c>
      <c r="K42" s="349"/>
      <c r="L42" s="350">
        <f t="shared" si="3"/>
        <v>32177.0805</v>
      </c>
      <c r="M42" s="340">
        <f>L42*0.1</f>
        <v>3217.7080500000002</v>
      </c>
      <c r="N42" s="341">
        <f>L42*0</f>
        <v>0</v>
      </c>
      <c r="O42" s="342">
        <f>L42*0.9</f>
        <v>28959.372449999999</v>
      </c>
      <c r="P42" s="343" t="s">
        <v>454</v>
      </c>
    </row>
    <row r="43" spans="1:16" x14ac:dyDescent="0.35">
      <c r="A43" s="344" t="s">
        <v>1025</v>
      </c>
      <c r="B43" s="344">
        <v>7717</v>
      </c>
      <c r="C43" s="345" t="s">
        <v>78</v>
      </c>
      <c r="D43" s="346" t="s">
        <v>26</v>
      </c>
      <c r="E43" s="332">
        <v>25073.530500000001</v>
      </c>
      <c r="F43" s="333">
        <v>10029.412200000001</v>
      </c>
      <c r="G43" s="335">
        <v>2507.3530500000002</v>
      </c>
      <c r="H43" s="335">
        <v>12536.76525</v>
      </c>
      <c r="I43" s="347"/>
      <c r="J43" s="348"/>
      <c r="K43" s="349"/>
      <c r="L43" s="350">
        <f t="shared" si="3"/>
        <v>25073.530500000001</v>
      </c>
      <c r="M43" s="340">
        <f t="shared" si="0"/>
        <v>10029.412200000001</v>
      </c>
      <c r="N43" s="341">
        <f t="shared" si="1"/>
        <v>2507.3530500000002</v>
      </c>
      <c r="O43" s="342">
        <f t="shared" si="2"/>
        <v>12536.76525</v>
      </c>
      <c r="P43" s="343" t="s">
        <v>454</v>
      </c>
    </row>
    <row r="44" spans="1:16" x14ac:dyDescent="0.35">
      <c r="A44" s="344" t="s">
        <v>977</v>
      </c>
      <c r="B44" s="344">
        <v>6329</v>
      </c>
      <c r="C44" s="345" t="s">
        <v>73</v>
      </c>
      <c r="D44" s="346" t="s">
        <v>28</v>
      </c>
      <c r="E44" s="332">
        <v>23884.9365</v>
      </c>
      <c r="F44" s="333">
        <v>9553.9745999999996</v>
      </c>
      <c r="G44" s="335">
        <v>2388.4936499999999</v>
      </c>
      <c r="H44" s="335">
        <v>11942.46825</v>
      </c>
      <c r="I44" s="347"/>
      <c r="J44" s="348">
        <f>VLOOKUP(A44,'[3]MT Over'!$A:$G,7,0)</f>
        <v>72.036000000000001</v>
      </c>
      <c r="K44" s="349"/>
      <c r="L44" s="350">
        <f t="shared" si="3"/>
        <v>23812.9005</v>
      </c>
      <c r="M44" s="340">
        <f t="shared" si="0"/>
        <v>9525.1602000000003</v>
      </c>
      <c r="N44" s="341">
        <f t="shared" si="1"/>
        <v>2381.2900500000001</v>
      </c>
      <c r="O44" s="342">
        <f t="shared" si="2"/>
        <v>11906.45025</v>
      </c>
      <c r="P44" s="343" t="s">
        <v>454</v>
      </c>
    </row>
    <row r="45" spans="1:16" x14ac:dyDescent="0.35">
      <c r="A45" s="344" t="s">
        <v>1031</v>
      </c>
      <c r="B45" s="344">
        <v>6655</v>
      </c>
      <c r="C45" s="345" t="s">
        <v>1032</v>
      </c>
      <c r="D45" s="346" t="s">
        <v>26</v>
      </c>
      <c r="E45" s="332">
        <v>18718.354500000001</v>
      </c>
      <c r="F45" s="333">
        <v>7487.3418000000011</v>
      </c>
      <c r="G45" s="335">
        <v>1871.8354500000003</v>
      </c>
      <c r="H45" s="335">
        <v>9359.1772500000006</v>
      </c>
      <c r="I45" s="347"/>
      <c r="J45" s="348"/>
      <c r="K45" s="349"/>
      <c r="L45" s="350">
        <f t="shared" si="3"/>
        <v>18718.354500000001</v>
      </c>
      <c r="M45" s="340">
        <f t="shared" si="0"/>
        <v>7487.3418000000011</v>
      </c>
      <c r="N45" s="341">
        <f t="shared" si="1"/>
        <v>1871.8354500000003</v>
      </c>
      <c r="O45" s="342">
        <f t="shared" si="2"/>
        <v>9359.1772500000006</v>
      </c>
      <c r="P45" s="343" t="s">
        <v>454</v>
      </c>
    </row>
    <row r="46" spans="1:16" x14ac:dyDescent="0.35">
      <c r="A46" s="344" t="s">
        <v>942</v>
      </c>
      <c r="B46" s="344">
        <v>6489</v>
      </c>
      <c r="C46" s="345" t="s">
        <v>36</v>
      </c>
      <c r="D46" s="346" t="s">
        <v>28</v>
      </c>
      <c r="E46" s="332">
        <v>18559.275000000001</v>
      </c>
      <c r="F46" s="333">
        <v>7423.7100000000009</v>
      </c>
      <c r="G46" s="335">
        <v>1855.9275000000002</v>
      </c>
      <c r="H46" s="335">
        <v>9279.6375000000007</v>
      </c>
      <c r="I46" s="347"/>
      <c r="J46" s="348">
        <f>VLOOKUP(A46,'[3]MT Over'!$A:$G,7,0)</f>
        <v>359.17950000000002</v>
      </c>
      <c r="K46" s="349"/>
      <c r="L46" s="350">
        <f t="shared" si="3"/>
        <v>18200.095500000003</v>
      </c>
      <c r="M46" s="340">
        <f t="shared" si="0"/>
        <v>7280.0382000000018</v>
      </c>
      <c r="N46" s="341">
        <f t="shared" si="1"/>
        <v>1820.0095500000004</v>
      </c>
      <c r="O46" s="342">
        <f t="shared" si="2"/>
        <v>9100.0477500000015</v>
      </c>
      <c r="P46" s="343" t="s">
        <v>454</v>
      </c>
    </row>
    <row r="47" spans="1:16" x14ac:dyDescent="0.35">
      <c r="A47" s="344" t="s">
        <v>1038</v>
      </c>
      <c r="B47" s="344">
        <v>6368</v>
      </c>
      <c r="C47" s="345" t="s">
        <v>1039</v>
      </c>
      <c r="D47" s="346" t="s">
        <v>26</v>
      </c>
      <c r="E47" s="332">
        <v>18487.227500000001</v>
      </c>
      <c r="F47" s="333"/>
      <c r="G47" s="335"/>
      <c r="H47" s="335">
        <v>18487.227500000001</v>
      </c>
      <c r="I47" s="347" t="s">
        <v>14</v>
      </c>
      <c r="J47" s="348"/>
      <c r="K47" s="349"/>
      <c r="L47" s="350">
        <f t="shared" si="3"/>
        <v>18487.227500000001</v>
      </c>
      <c r="M47" s="340">
        <f>L47*0</f>
        <v>0</v>
      </c>
      <c r="N47" s="341">
        <f>L47*0</f>
        <v>0</v>
      </c>
      <c r="O47" s="342">
        <f>L47*1</f>
        <v>18487.227500000001</v>
      </c>
      <c r="P47" s="343" t="s">
        <v>454</v>
      </c>
    </row>
    <row r="48" spans="1:16" x14ac:dyDescent="0.35">
      <c r="A48" s="344" t="s">
        <v>979</v>
      </c>
      <c r="B48" s="344">
        <v>7514</v>
      </c>
      <c r="C48" s="345" t="s">
        <v>104</v>
      </c>
      <c r="D48" s="346" t="s">
        <v>28</v>
      </c>
      <c r="E48" s="332">
        <v>15863.928</v>
      </c>
      <c r="F48" s="333">
        <v>6345.5712000000003</v>
      </c>
      <c r="G48" s="335">
        <v>1586.3928000000001</v>
      </c>
      <c r="H48" s="335">
        <v>7931.9639999999999</v>
      </c>
      <c r="I48" s="347"/>
      <c r="J48" s="348">
        <f>VLOOKUP(A48,'[3]MT Over'!$A:$G,7,0)</f>
        <v>473.23649999999998</v>
      </c>
      <c r="K48" s="349"/>
      <c r="L48" s="350">
        <f t="shared" si="3"/>
        <v>15390.691500000001</v>
      </c>
      <c r="M48" s="340">
        <f t="shared" si="0"/>
        <v>6156.2766000000011</v>
      </c>
      <c r="N48" s="341">
        <f t="shared" si="1"/>
        <v>1539.0691500000003</v>
      </c>
      <c r="O48" s="342">
        <f t="shared" si="2"/>
        <v>7695.3457500000004</v>
      </c>
      <c r="P48" s="343" t="s">
        <v>454</v>
      </c>
    </row>
    <row r="49" spans="1:16" x14ac:dyDescent="0.35">
      <c r="A49" s="344" t="s">
        <v>978</v>
      </c>
      <c r="B49" s="344">
        <v>7930</v>
      </c>
      <c r="C49" s="345" t="s">
        <v>77</v>
      </c>
      <c r="D49" s="346" t="s">
        <v>28</v>
      </c>
      <c r="E49" s="332">
        <v>14465.228999999999</v>
      </c>
      <c r="F49" s="333">
        <v>5786.0915999999997</v>
      </c>
      <c r="G49" s="335">
        <v>1446.5228999999999</v>
      </c>
      <c r="H49" s="335">
        <v>7232.6144999999997</v>
      </c>
      <c r="I49" s="347"/>
      <c r="J49" s="348">
        <f>VLOOKUP(A49,'[3]MT Over'!$A:$G,7,0)</f>
        <v>14.007</v>
      </c>
      <c r="K49" s="349"/>
      <c r="L49" s="350">
        <f t="shared" si="3"/>
        <v>14451.222</v>
      </c>
      <c r="M49" s="340">
        <f t="shared" si="0"/>
        <v>5780.4888000000001</v>
      </c>
      <c r="N49" s="341">
        <f t="shared" si="1"/>
        <v>1445.1222</v>
      </c>
      <c r="O49" s="342">
        <f t="shared" si="2"/>
        <v>7225.6109999999999</v>
      </c>
      <c r="P49" s="343" t="s">
        <v>454</v>
      </c>
    </row>
    <row r="50" spans="1:16" x14ac:dyDescent="0.35">
      <c r="A50" s="344" t="s">
        <v>980</v>
      </c>
      <c r="B50" s="344">
        <v>7168</v>
      </c>
      <c r="C50" s="345" t="s">
        <v>79</v>
      </c>
      <c r="D50" s="346" t="s">
        <v>28</v>
      </c>
      <c r="E50" s="332">
        <v>13401.6975</v>
      </c>
      <c r="F50" s="333">
        <v>5360.6790000000001</v>
      </c>
      <c r="G50" s="335">
        <v>1340.16975</v>
      </c>
      <c r="H50" s="335">
        <v>6700.8487500000001</v>
      </c>
      <c r="I50" s="347"/>
      <c r="J50" s="348">
        <f>VLOOKUP(A50,'[3]MT Over'!$A:$G,7,0)</f>
        <v>8.0039999999999996</v>
      </c>
      <c r="K50" s="349"/>
      <c r="L50" s="350">
        <f t="shared" si="3"/>
        <v>13393.693499999999</v>
      </c>
      <c r="M50" s="340">
        <f t="shared" si="0"/>
        <v>5357.4773999999998</v>
      </c>
      <c r="N50" s="341">
        <f t="shared" si="1"/>
        <v>1339.3693499999999</v>
      </c>
      <c r="O50" s="342">
        <f t="shared" si="2"/>
        <v>6696.8467499999997</v>
      </c>
      <c r="P50" s="343" t="s">
        <v>454</v>
      </c>
    </row>
    <row r="51" spans="1:16" x14ac:dyDescent="0.35">
      <c r="A51" s="344" t="s">
        <v>988</v>
      </c>
      <c r="B51" s="344" t="s">
        <v>989</v>
      </c>
      <c r="C51" s="345" t="s">
        <v>990</v>
      </c>
      <c r="D51" s="346" t="s">
        <v>26</v>
      </c>
      <c r="E51" s="332">
        <v>13174.584000000001</v>
      </c>
      <c r="F51" s="333"/>
      <c r="G51" s="335"/>
      <c r="H51" s="335">
        <v>13174.584000000001</v>
      </c>
      <c r="I51" s="347" t="s">
        <v>14</v>
      </c>
      <c r="J51" s="348"/>
      <c r="K51" s="349"/>
      <c r="L51" s="350">
        <f t="shared" si="3"/>
        <v>13174.584000000001</v>
      </c>
      <c r="M51" s="340">
        <f t="shared" ref="M51:M52" si="10">L51*0</f>
        <v>0</v>
      </c>
      <c r="N51" s="341">
        <f t="shared" ref="N51:N52" si="11">L51*0</f>
        <v>0</v>
      </c>
      <c r="O51" s="342">
        <f t="shared" ref="O51:O52" si="12">L51*1</f>
        <v>13174.584000000001</v>
      </c>
      <c r="P51" s="343" t="s">
        <v>454</v>
      </c>
    </row>
    <row r="52" spans="1:16" x14ac:dyDescent="0.35">
      <c r="A52" s="344" t="s">
        <v>981</v>
      </c>
      <c r="B52" s="344">
        <v>6001</v>
      </c>
      <c r="C52" s="345" t="s">
        <v>982</v>
      </c>
      <c r="D52" s="346" t="s">
        <v>28</v>
      </c>
      <c r="E52" s="332">
        <v>12630.312</v>
      </c>
      <c r="F52" s="333"/>
      <c r="G52" s="335"/>
      <c r="H52" s="335">
        <v>12630.312</v>
      </c>
      <c r="I52" s="347" t="s">
        <v>14</v>
      </c>
      <c r="J52" s="348">
        <f>VLOOKUP(A52,'[3]MT Over'!$A:$G,7,0)</f>
        <v>242.12100000000001</v>
      </c>
      <c r="K52" s="349"/>
      <c r="L52" s="350">
        <f t="shared" si="3"/>
        <v>12388.191000000001</v>
      </c>
      <c r="M52" s="340">
        <f t="shared" si="10"/>
        <v>0</v>
      </c>
      <c r="N52" s="341">
        <f t="shared" si="11"/>
        <v>0</v>
      </c>
      <c r="O52" s="342">
        <f t="shared" si="12"/>
        <v>12388.191000000001</v>
      </c>
      <c r="P52" s="343" t="s">
        <v>454</v>
      </c>
    </row>
    <row r="53" spans="1:16" x14ac:dyDescent="0.35">
      <c r="A53" s="344" t="s">
        <v>984</v>
      </c>
      <c r="B53" s="344">
        <v>8862</v>
      </c>
      <c r="C53" s="345" t="s">
        <v>82</v>
      </c>
      <c r="D53" s="346" t="s">
        <v>28</v>
      </c>
      <c r="E53" s="332">
        <v>11718.8565</v>
      </c>
      <c r="F53" s="333">
        <v>4687.5425999999998</v>
      </c>
      <c r="G53" s="335">
        <v>1171.8856499999999</v>
      </c>
      <c r="H53" s="335">
        <v>5859.4282499999999</v>
      </c>
      <c r="I53" s="347"/>
      <c r="J53" s="348">
        <f>VLOOKUP(A53,'[3]MT Over'!$A:$G,7,0)</f>
        <v>73.036500000000004</v>
      </c>
      <c r="K53" s="349"/>
      <c r="L53" s="350">
        <f>E53-J53-K53</f>
        <v>11645.82</v>
      </c>
      <c r="M53" s="340">
        <f t="shared" si="0"/>
        <v>4658.3280000000004</v>
      </c>
      <c r="N53" s="341">
        <f t="shared" si="1"/>
        <v>1164.5820000000001</v>
      </c>
      <c r="O53" s="342">
        <f t="shared" si="2"/>
        <v>5822.91</v>
      </c>
      <c r="P53" s="343" t="s">
        <v>454</v>
      </c>
    </row>
    <row r="54" spans="1:16" x14ac:dyDescent="0.35">
      <c r="A54" s="344" t="s">
        <v>986</v>
      </c>
      <c r="B54" s="344">
        <v>6661</v>
      </c>
      <c r="C54" s="345" t="s">
        <v>969</v>
      </c>
      <c r="D54" s="346" t="s">
        <v>28</v>
      </c>
      <c r="E54" s="332">
        <v>6233.1149999999998</v>
      </c>
      <c r="F54" s="333">
        <v>2493.2460000000001</v>
      </c>
      <c r="G54" s="335">
        <v>623.31150000000002</v>
      </c>
      <c r="H54" s="335">
        <v>3116.5574999999999</v>
      </c>
      <c r="I54" s="347"/>
      <c r="J54" s="348">
        <f>VLOOKUP(A54,'[3]MT Over'!$A:$G,7,0)</f>
        <v>5.0025000000000004</v>
      </c>
      <c r="K54" s="349"/>
      <c r="L54" s="350">
        <f t="shared" si="3"/>
        <v>6228.1125000000002</v>
      </c>
      <c r="M54" s="340">
        <f t="shared" si="0"/>
        <v>2491.2450000000003</v>
      </c>
      <c r="N54" s="341">
        <f t="shared" si="1"/>
        <v>622.81125000000009</v>
      </c>
      <c r="O54" s="342">
        <f t="shared" si="2"/>
        <v>3114.0562500000001</v>
      </c>
      <c r="P54" s="343" t="s">
        <v>454</v>
      </c>
    </row>
    <row r="55" spans="1:16" x14ac:dyDescent="0.35">
      <c r="A55" s="344" t="s">
        <v>991</v>
      </c>
      <c r="B55" s="344">
        <v>7566</v>
      </c>
      <c r="C55" s="345" t="s">
        <v>92</v>
      </c>
      <c r="D55" s="346" t="s">
        <v>28</v>
      </c>
      <c r="E55" s="332">
        <v>5812.9049999999997</v>
      </c>
      <c r="F55" s="333">
        <v>2325.1619999999998</v>
      </c>
      <c r="G55" s="335">
        <v>581.29049999999995</v>
      </c>
      <c r="H55" s="335">
        <v>2906.4524999999999</v>
      </c>
      <c r="I55" s="347"/>
      <c r="J55" s="348">
        <f>VLOOKUP(A55,'[3]MT Over'!$A:$G,7,0)</f>
        <v>405.20249999999999</v>
      </c>
      <c r="K55" s="349"/>
      <c r="L55" s="350">
        <f t="shared" si="3"/>
        <v>5407.7024999999994</v>
      </c>
      <c r="M55" s="340">
        <f t="shared" si="0"/>
        <v>2163.0809999999997</v>
      </c>
      <c r="N55" s="341">
        <f t="shared" si="1"/>
        <v>540.77024999999992</v>
      </c>
      <c r="O55" s="342">
        <f t="shared" si="2"/>
        <v>2703.8512499999997</v>
      </c>
      <c r="P55" s="343" t="s">
        <v>454</v>
      </c>
    </row>
    <row r="56" spans="1:16" x14ac:dyDescent="0.35">
      <c r="A56" s="344" t="s">
        <v>987</v>
      </c>
      <c r="B56" s="344">
        <v>6265</v>
      </c>
      <c r="C56" s="345" t="s">
        <v>355</v>
      </c>
      <c r="D56" s="346" t="s">
        <v>28</v>
      </c>
      <c r="E56" s="332">
        <v>4895.4465</v>
      </c>
      <c r="F56" s="333"/>
      <c r="G56" s="335"/>
      <c r="H56" s="335">
        <v>4895.4465</v>
      </c>
      <c r="I56" s="347" t="s">
        <v>14</v>
      </c>
      <c r="J56" s="348">
        <f>VLOOKUP(A56,'[3]MT Over'!$A:$G,7,0)</f>
        <v>2.0009999999999999</v>
      </c>
      <c r="K56" s="349"/>
      <c r="L56" s="350">
        <f t="shared" si="3"/>
        <v>4893.4454999999998</v>
      </c>
      <c r="M56" s="340">
        <f>L56*0</f>
        <v>0</v>
      </c>
      <c r="N56" s="341">
        <f>L56*0</f>
        <v>0</v>
      </c>
      <c r="O56" s="342">
        <f>L56*1</f>
        <v>4893.4454999999998</v>
      </c>
      <c r="P56" s="343" t="s">
        <v>454</v>
      </c>
    </row>
    <row r="57" spans="1:16" x14ac:dyDescent="0.35">
      <c r="A57" s="344" t="s">
        <v>992</v>
      </c>
      <c r="B57" s="344">
        <v>6650</v>
      </c>
      <c r="C57" s="345" t="s">
        <v>993</v>
      </c>
      <c r="D57" s="346" t="s">
        <v>28</v>
      </c>
      <c r="E57" s="332">
        <v>4683.3405000000002</v>
      </c>
      <c r="F57" s="333">
        <v>468.33405000000005</v>
      </c>
      <c r="G57" s="335">
        <v>0</v>
      </c>
      <c r="H57" s="335">
        <v>4215.0064500000008</v>
      </c>
      <c r="I57" s="347" t="s">
        <v>41</v>
      </c>
      <c r="J57" s="348">
        <f>VLOOKUP(A57,'[3]MT Over'!$A:$G,7,0)</f>
        <v>131.06549999999999</v>
      </c>
      <c r="K57" s="349"/>
      <c r="L57" s="350">
        <f t="shared" si="3"/>
        <v>4552.2750000000005</v>
      </c>
      <c r="M57" s="340">
        <f>L57*0.1</f>
        <v>455.22750000000008</v>
      </c>
      <c r="N57" s="341">
        <f>L57*0</f>
        <v>0</v>
      </c>
      <c r="O57" s="342">
        <f>L57*0.9</f>
        <v>4097.0475000000006</v>
      </c>
      <c r="P57" s="343" t="s">
        <v>454</v>
      </c>
    </row>
    <row r="58" spans="1:16" x14ac:dyDescent="0.35">
      <c r="A58" s="344" t="s">
        <v>995</v>
      </c>
      <c r="B58" s="344">
        <v>6375</v>
      </c>
      <c r="C58" s="345" t="s">
        <v>996</v>
      </c>
      <c r="D58" s="346" t="s">
        <v>28</v>
      </c>
      <c r="E58" s="332">
        <v>1763.8815</v>
      </c>
      <c r="F58" s="333">
        <v>705.55259999999998</v>
      </c>
      <c r="G58" s="335">
        <v>176.38815</v>
      </c>
      <c r="H58" s="335">
        <v>881.94074999999998</v>
      </c>
      <c r="I58" s="347"/>
      <c r="J58" s="348">
        <f>VLOOKUP(A58,'[3]MT Over'!$A:$G,7,0)</f>
        <v>1.0004999999999999</v>
      </c>
      <c r="K58" s="349"/>
      <c r="L58" s="350">
        <f t="shared" si="3"/>
        <v>1762.8809999999999</v>
      </c>
      <c r="M58" s="340">
        <f t="shared" si="0"/>
        <v>705.15239999999994</v>
      </c>
      <c r="N58" s="341">
        <f t="shared" si="1"/>
        <v>176.28809999999999</v>
      </c>
      <c r="O58" s="342">
        <f t="shared" si="2"/>
        <v>881.44049999999993</v>
      </c>
      <c r="P58" s="343" t="s">
        <v>454</v>
      </c>
    </row>
    <row r="59" spans="1:16" x14ac:dyDescent="0.35">
      <c r="A59" s="344" t="s">
        <v>994</v>
      </c>
      <c r="B59" s="344">
        <v>6042</v>
      </c>
      <c r="C59" s="345" t="s">
        <v>107</v>
      </c>
      <c r="D59" s="346" t="s">
        <v>28</v>
      </c>
      <c r="E59" s="332">
        <v>1621.8105</v>
      </c>
      <c r="F59" s="333">
        <v>162.18105000000003</v>
      </c>
      <c r="G59" s="335"/>
      <c r="H59" s="335">
        <v>1459.6294500000001</v>
      </c>
      <c r="I59" s="347" t="s">
        <v>41</v>
      </c>
      <c r="J59" s="348">
        <f>VLOOKUP(A59,'[3]MT Over'!$A:$G,7,0)</f>
        <v>39.019500000000001</v>
      </c>
      <c r="K59" s="349"/>
      <c r="L59" s="350">
        <f t="shared" si="3"/>
        <v>1582.7909999999999</v>
      </c>
      <c r="M59" s="340">
        <f>L59*0.1</f>
        <v>158.2791</v>
      </c>
      <c r="N59" s="341">
        <f>L59*0</f>
        <v>0</v>
      </c>
      <c r="O59" s="342">
        <f>L59*0.9</f>
        <v>1424.5119</v>
      </c>
      <c r="P59" s="343" t="s">
        <v>454</v>
      </c>
    </row>
    <row r="60" spans="1:16" x14ac:dyDescent="0.35">
      <c r="A60" s="344" t="s">
        <v>1040</v>
      </c>
      <c r="B60" s="344">
        <v>6368</v>
      </c>
      <c r="C60" s="345" t="s">
        <v>1039</v>
      </c>
      <c r="D60" s="346" t="s">
        <v>26</v>
      </c>
      <c r="E60" s="332">
        <v>1500.06</v>
      </c>
      <c r="F60" s="333"/>
      <c r="G60" s="335"/>
      <c r="H60" s="335">
        <v>1500.06</v>
      </c>
      <c r="I60" s="347" t="s">
        <v>14</v>
      </c>
      <c r="J60" s="348"/>
      <c r="K60" s="349"/>
      <c r="L60" s="350">
        <f t="shared" si="3"/>
        <v>1500.06</v>
      </c>
      <c r="M60" s="340">
        <f>L60*0</f>
        <v>0</v>
      </c>
      <c r="N60" s="341">
        <f>L60*0</f>
        <v>0</v>
      </c>
      <c r="O60" s="342">
        <f>L60*1</f>
        <v>1500.06</v>
      </c>
      <c r="P60" s="343" t="s">
        <v>454</v>
      </c>
    </row>
    <row r="61" spans="1:16" x14ac:dyDescent="0.35">
      <c r="A61" s="344" t="s">
        <v>1002</v>
      </c>
      <c r="B61" s="344">
        <v>6616</v>
      </c>
      <c r="C61" s="345" t="s">
        <v>80</v>
      </c>
      <c r="D61" s="346" t="s">
        <v>28</v>
      </c>
      <c r="E61" s="332">
        <v>1398.6990000000001</v>
      </c>
      <c r="F61" s="333">
        <v>559.4796</v>
      </c>
      <c r="G61" s="335">
        <v>139.8699</v>
      </c>
      <c r="H61" s="335">
        <v>699.34950000000003</v>
      </c>
      <c r="I61" s="347"/>
      <c r="J61" s="348">
        <f>VLOOKUP(A61,'[3]MT Over'!$A:$G,7,0)</f>
        <v>476.238</v>
      </c>
      <c r="K61" s="349"/>
      <c r="L61" s="350">
        <f t="shared" si="3"/>
        <v>922.46100000000001</v>
      </c>
      <c r="M61" s="340">
        <f t="shared" si="0"/>
        <v>368.98440000000005</v>
      </c>
      <c r="N61" s="341">
        <f t="shared" si="1"/>
        <v>92.246100000000013</v>
      </c>
      <c r="O61" s="342">
        <f t="shared" si="2"/>
        <v>461.23050000000001</v>
      </c>
      <c r="P61" s="343" t="s">
        <v>454</v>
      </c>
    </row>
    <row r="62" spans="1:16" x14ac:dyDescent="0.35">
      <c r="A62" s="344" t="s">
        <v>1000</v>
      </c>
      <c r="B62" s="344">
        <v>6400</v>
      </c>
      <c r="C62" s="345" t="s">
        <v>94</v>
      </c>
      <c r="D62" s="346" t="s">
        <v>28</v>
      </c>
      <c r="E62" s="332">
        <v>1148.5740000000001</v>
      </c>
      <c r="F62" s="333"/>
      <c r="G62" s="335"/>
      <c r="H62" s="335">
        <v>1148.5740000000001</v>
      </c>
      <c r="I62" s="347" t="s">
        <v>14</v>
      </c>
      <c r="J62" s="348">
        <f>VLOOKUP(A62,'[3]MT Over'!$A:$G,7,0)</f>
        <v>1.0004999999999999</v>
      </c>
      <c r="K62" s="349"/>
      <c r="L62" s="350">
        <f t="shared" si="3"/>
        <v>1147.5735</v>
      </c>
      <c r="M62" s="340">
        <f>L62*0</f>
        <v>0</v>
      </c>
      <c r="N62" s="341">
        <f>L62*0</f>
        <v>0</v>
      </c>
      <c r="O62" s="342">
        <f>L62*1</f>
        <v>1147.5735</v>
      </c>
      <c r="P62" s="343" t="s">
        <v>454</v>
      </c>
    </row>
    <row r="63" spans="1:16" x14ac:dyDescent="0.35">
      <c r="A63" s="344" t="s">
        <v>999</v>
      </c>
      <c r="B63" s="344">
        <v>6614</v>
      </c>
      <c r="C63" s="345" t="s">
        <v>89</v>
      </c>
      <c r="D63" s="346" t="s">
        <v>28</v>
      </c>
      <c r="E63" s="332">
        <v>762.38099999999997</v>
      </c>
      <c r="F63" s="333">
        <v>304.95240000000001</v>
      </c>
      <c r="G63" s="335">
        <v>76.238100000000003</v>
      </c>
      <c r="H63" s="335">
        <v>381.19049999999999</v>
      </c>
      <c r="I63" s="347"/>
      <c r="J63" s="348">
        <f>VLOOKUP(A63,'[3]MT Over'!$A:$G,7,0)</f>
        <v>2.0009999999999999</v>
      </c>
      <c r="K63" s="349"/>
      <c r="L63" s="350">
        <f t="shared" si="3"/>
        <v>760.38</v>
      </c>
      <c r="M63" s="340">
        <f t="shared" si="0"/>
        <v>304.15199999999999</v>
      </c>
      <c r="N63" s="341">
        <f t="shared" si="1"/>
        <v>76.037999999999997</v>
      </c>
      <c r="O63" s="342">
        <f t="shared" si="2"/>
        <v>380.19</v>
      </c>
      <c r="P63" s="343" t="s">
        <v>454</v>
      </c>
    </row>
    <row r="64" spans="1:16" x14ac:dyDescent="0.35">
      <c r="A64" s="344" t="s">
        <v>1001</v>
      </c>
      <c r="B64" s="344">
        <v>8338</v>
      </c>
      <c r="C64" s="345" t="s">
        <v>103</v>
      </c>
      <c r="D64" s="346" t="s">
        <v>26</v>
      </c>
      <c r="E64" s="332">
        <v>760.38</v>
      </c>
      <c r="F64" s="333">
        <v>304.15199999999999</v>
      </c>
      <c r="G64" s="335">
        <v>76.037999999999997</v>
      </c>
      <c r="H64" s="335">
        <v>380.19</v>
      </c>
      <c r="I64" s="347"/>
      <c r="J64" s="348"/>
      <c r="K64" s="349"/>
      <c r="L64" s="350">
        <f t="shared" si="3"/>
        <v>760.38</v>
      </c>
      <c r="M64" s="340">
        <f t="shared" si="0"/>
        <v>304.15199999999999</v>
      </c>
      <c r="N64" s="341">
        <f t="shared" si="1"/>
        <v>76.037999999999997</v>
      </c>
      <c r="O64" s="342">
        <f t="shared" si="2"/>
        <v>380.19</v>
      </c>
      <c r="P64" s="343" t="s">
        <v>454</v>
      </c>
    </row>
    <row r="65" spans="1:16" x14ac:dyDescent="0.35">
      <c r="A65" s="344" t="s">
        <v>1009</v>
      </c>
      <c r="B65" s="344">
        <v>6802</v>
      </c>
      <c r="C65" s="345" t="s">
        <v>1010</v>
      </c>
      <c r="D65" s="346" t="s">
        <v>28</v>
      </c>
      <c r="E65" s="332">
        <v>686.34299999999996</v>
      </c>
      <c r="F65" s="333"/>
      <c r="G65" s="335"/>
      <c r="H65" s="335">
        <v>686.34299999999996</v>
      </c>
      <c r="I65" s="347" t="s">
        <v>14</v>
      </c>
      <c r="J65" s="348">
        <f>VLOOKUP(A65,'[3]MT Over'!$A:$G,7,0)</f>
        <v>0</v>
      </c>
      <c r="K65" s="349"/>
      <c r="L65" s="350">
        <f t="shared" si="3"/>
        <v>686.34299999999996</v>
      </c>
      <c r="M65" s="340">
        <f t="shared" ref="M65:M66" si="13">L65*0</f>
        <v>0</v>
      </c>
      <c r="N65" s="341">
        <f t="shared" ref="N65:N66" si="14">L65*0</f>
        <v>0</v>
      </c>
      <c r="O65" s="342">
        <f t="shared" ref="O65:O66" si="15">L65*1</f>
        <v>686.34299999999996</v>
      </c>
      <c r="P65" s="343" t="s">
        <v>454</v>
      </c>
    </row>
    <row r="66" spans="1:16" x14ac:dyDescent="0.35">
      <c r="A66" s="344" t="s">
        <v>1041</v>
      </c>
      <c r="B66" s="344">
        <v>6368</v>
      </c>
      <c r="C66" s="345" t="s">
        <v>1039</v>
      </c>
      <c r="D66" s="346" t="s">
        <v>26</v>
      </c>
      <c r="E66" s="332">
        <v>650.02599999999995</v>
      </c>
      <c r="F66" s="333"/>
      <c r="G66" s="335"/>
      <c r="H66" s="335">
        <v>650.02599999999995</v>
      </c>
      <c r="I66" s="347" t="s">
        <v>14</v>
      </c>
      <c r="J66" s="348"/>
      <c r="K66" s="349"/>
      <c r="L66" s="350">
        <f t="shared" si="3"/>
        <v>650.02599999999995</v>
      </c>
      <c r="M66" s="340">
        <f t="shared" si="13"/>
        <v>0</v>
      </c>
      <c r="N66" s="341">
        <f t="shared" si="14"/>
        <v>0</v>
      </c>
      <c r="O66" s="342">
        <f t="shared" si="15"/>
        <v>650.02599999999995</v>
      </c>
      <c r="P66" s="343" t="s">
        <v>454</v>
      </c>
    </row>
    <row r="67" spans="1:16" x14ac:dyDescent="0.35">
      <c r="A67" s="344" t="s">
        <v>983</v>
      </c>
      <c r="B67" s="344">
        <v>7724</v>
      </c>
      <c r="C67" s="345" t="s">
        <v>72</v>
      </c>
      <c r="D67" s="346" t="s">
        <v>28</v>
      </c>
      <c r="E67" s="332">
        <v>497.24849999999998</v>
      </c>
      <c r="F67" s="333">
        <v>198.89940000000001</v>
      </c>
      <c r="G67" s="335">
        <v>49.724850000000004</v>
      </c>
      <c r="H67" s="335">
        <v>248.62424999999999</v>
      </c>
      <c r="I67" s="347"/>
      <c r="J67" s="348">
        <f>VLOOKUP(A67,'[3]MT Over'!$A:$G,7,0)</f>
        <v>1.0004999999999999</v>
      </c>
      <c r="K67" s="349"/>
      <c r="L67" s="350">
        <f t="shared" si="3"/>
        <v>496.24799999999999</v>
      </c>
      <c r="M67" s="340">
        <f t="shared" si="0"/>
        <v>198.4992</v>
      </c>
      <c r="N67" s="341">
        <f t="shared" si="1"/>
        <v>49.6248</v>
      </c>
      <c r="O67" s="342">
        <f t="shared" si="2"/>
        <v>248.124</v>
      </c>
      <c r="P67" s="343" t="s">
        <v>454</v>
      </c>
    </row>
    <row r="68" spans="1:16" x14ac:dyDescent="0.35">
      <c r="A68" s="344" t="s">
        <v>1035</v>
      </c>
      <c r="B68" s="344">
        <v>8120</v>
      </c>
      <c r="C68" s="345" t="s">
        <v>932</v>
      </c>
      <c r="D68" s="346" t="s">
        <v>26</v>
      </c>
      <c r="E68" s="332">
        <v>459.96550000000002</v>
      </c>
      <c r="F68" s="333"/>
      <c r="G68" s="335"/>
      <c r="H68" s="335">
        <v>459.96550000000002</v>
      </c>
      <c r="I68" s="347" t="s">
        <v>14</v>
      </c>
      <c r="J68" s="348"/>
      <c r="K68" s="349"/>
      <c r="L68" s="350">
        <f t="shared" si="3"/>
        <v>459.96550000000002</v>
      </c>
      <c r="M68" s="340">
        <f>L68*0</f>
        <v>0</v>
      </c>
      <c r="N68" s="341">
        <f>L68*0</f>
        <v>0</v>
      </c>
      <c r="O68" s="342">
        <f>L68*1</f>
        <v>459.96550000000002</v>
      </c>
      <c r="P68" s="343" t="s">
        <v>454</v>
      </c>
    </row>
    <row r="69" spans="1:16" x14ac:dyDescent="0.35">
      <c r="A69" s="344" t="s">
        <v>1006</v>
      </c>
      <c r="B69" s="344">
        <v>9282</v>
      </c>
      <c r="C69" s="345" t="s">
        <v>43</v>
      </c>
      <c r="D69" s="346" t="s">
        <v>26</v>
      </c>
      <c r="E69" s="332">
        <v>338.16899999999998</v>
      </c>
      <c r="F69" s="333">
        <v>135.26759999999999</v>
      </c>
      <c r="G69" s="335">
        <v>33.816899999999997</v>
      </c>
      <c r="H69" s="335">
        <v>169.08449999999999</v>
      </c>
      <c r="I69" s="347"/>
      <c r="J69" s="348"/>
      <c r="K69" s="349"/>
      <c r="L69" s="350">
        <f t="shared" si="3"/>
        <v>338.16899999999998</v>
      </c>
      <c r="M69" s="340">
        <f t="shared" si="0"/>
        <v>135.26759999999999</v>
      </c>
      <c r="N69" s="341">
        <f t="shared" si="1"/>
        <v>33.816899999999997</v>
      </c>
      <c r="O69" s="342">
        <f t="shared" si="2"/>
        <v>169.08449999999999</v>
      </c>
      <c r="P69" s="343" t="s">
        <v>454</v>
      </c>
    </row>
    <row r="70" spans="1:16" x14ac:dyDescent="0.35">
      <c r="A70" s="344" t="s">
        <v>1030</v>
      </c>
      <c r="B70" s="344">
        <v>8104</v>
      </c>
      <c r="C70" s="345" t="s">
        <v>389</v>
      </c>
      <c r="D70" s="346" t="s">
        <v>26</v>
      </c>
      <c r="E70" s="332">
        <v>330.16500000000002</v>
      </c>
      <c r="F70" s="333">
        <v>132.066</v>
      </c>
      <c r="G70" s="335">
        <v>33.016500000000001</v>
      </c>
      <c r="H70" s="335">
        <v>165.08250000000001</v>
      </c>
      <c r="I70" s="347"/>
      <c r="J70" s="348"/>
      <c r="K70" s="349"/>
      <c r="L70" s="350">
        <f t="shared" si="3"/>
        <v>330.16500000000002</v>
      </c>
      <c r="M70" s="340">
        <f t="shared" ref="M70:M97" si="16">L70*0.4</f>
        <v>132.066</v>
      </c>
      <c r="N70" s="341">
        <f t="shared" ref="N70:N97" si="17">L70*0.1</f>
        <v>33.016500000000001</v>
      </c>
      <c r="O70" s="342">
        <f t="shared" ref="O70:O97" si="18">L70*0.5</f>
        <v>165.08250000000001</v>
      </c>
      <c r="P70" s="343" t="s">
        <v>454</v>
      </c>
    </row>
    <row r="71" spans="1:16" x14ac:dyDescent="0.35">
      <c r="A71" s="344" t="s">
        <v>1026</v>
      </c>
      <c r="B71" s="344">
        <v>8717</v>
      </c>
      <c r="C71" s="345" t="s">
        <v>1027</v>
      </c>
      <c r="D71" s="346" t="s">
        <v>26</v>
      </c>
      <c r="E71" s="332">
        <v>322.161</v>
      </c>
      <c r="F71" s="333">
        <v>128.86440000000002</v>
      </c>
      <c r="G71" s="335">
        <v>32.216100000000004</v>
      </c>
      <c r="H71" s="335">
        <v>161.0805</v>
      </c>
      <c r="I71" s="347"/>
      <c r="J71" s="348"/>
      <c r="K71" s="349"/>
      <c r="L71" s="350">
        <f t="shared" si="3"/>
        <v>322.161</v>
      </c>
      <c r="M71" s="340">
        <f t="shared" si="16"/>
        <v>128.86440000000002</v>
      </c>
      <c r="N71" s="341">
        <f t="shared" si="17"/>
        <v>32.216100000000004</v>
      </c>
      <c r="O71" s="342">
        <f t="shared" si="18"/>
        <v>161.0805</v>
      </c>
      <c r="P71" s="343" t="s">
        <v>454</v>
      </c>
    </row>
    <row r="72" spans="1:16" x14ac:dyDescent="0.35">
      <c r="A72" s="344" t="s">
        <v>1043</v>
      </c>
      <c r="B72" s="344">
        <v>6368</v>
      </c>
      <c r="C72" s="345" t="s">
        <v>1039</v>
      </c>
      <c r="D72" s="346" t="s">
        <v>26</v>
      </c>
      <c r="E72" s="332">
        <v>321.678</v>
      </c>
      <c r="F72" s="333"/>
      <c r="G72" s="335"/>
      <c r="H72" s="335">
        <v>321.678</v>
      </c>
      <c r="I72" s="347" t="s">
        <v>14</v>
      </c>
      <c r="J72" s="348"/>
      <c r="K72" s="349"/>
      <c r="L72" s="350">
        <f t="shared" si="3"/>
        <v>321.678</v>
      </c>
      <c r="M72" s="340">
        <f>L72*0</f>
        <v>0</v>
      </c>
      <c r="N72" s="341">
        <f>L72*0</f>
        <v>0</v>
      </c>
      <c r="O72" s="342">
        <f>L72*1</f>
        <v>321.678</v>
      </c>
      <c r="P72" s="343" t="s">
        <v>454</v>
      </c>
    </row>
    <row r="73" spans="1:16" x14ac:dyDescent="0.35">
      <c r="A73" s="344" t="s">
        <v>1008</v>
      </c>
      <c r="B73" s="344">
        <v>6866</v>
      </c>
      <c r="C73" s="345" t="s">
        <v>95</v>
      </c>
      <c r="D73" s="346" t="s">
        <v>28</v>
      </c>
      <c r="E73" s="332">
        <v>202.101</v>
      </c>
      <c r="F73" s="333">
        <v>80.840400000000002</v>
      </c>
      <c r="G73" s="335">
        <v>20.210100000000001</v>
      </c>
      <c r="H73" s="335">
        <v>101.0505</v>
      </c>
      <c r="I73" s="347"/>
      <c r="J73" s="348">
        <f>VLOOKUP(A73,'[3]MT Over'!$A:$G,7,0)</f>
        <v>0</v>
      </c>
      <c r="K73" s="349"/>
      <c r="L73" s="350">
        <f t="shared" si="3"/>
        <v>202.101</v>
      </c>
      <c r="M73" s="340">
        <f t="shared" si="16"/>
        <v>80.840400000000002</v>
      </c>
      <c r="N73" s="341">
        <f t="shared" si="17"/>
        <v>20.210100000000001</v>
      </c>
      <c r="O73" s="342">
        <f t="shared" si="18"/>
        <v>101.0505</v>
      </c>
      <c r="P73" s="343" t="s">
        <v>454</v>
      </c>
    </row>
    <row r="74" spans="1:16" x14ac:dyDescent="0.35">
      <c r="A74" s="344" t="s">
        <v>1042</v>
      </c>
      <c r="B74" s="344">
        <v>6368</v>
      </c>
      <c r="C74" s="345" t="s">
        <v>1039</v>
      </c>
      <c r="D74" s="346" t="s">
        <v>26</v>
      </c>
      <c r="E74" s="332">
        <v>149.96</v>
      </c>
      <c r="F74" s="333"/>
      <c r="G74" s="335"/>
      <c r="H74" s="335">
        <v>149.96</v>
      </c>
      <c r="I74" s="347" t="s">
        <v>14</v>
      </c>
      <c r="J74" s="348"/>
      <c r="K74" s="349"/>
      <c r="L74" s="350">
        <f t="shared" si="3"/>
        <v>149.96</v>
      </c>
      <c r="M74" s="340">
        <f>L74*0</f>
        <v>0</v>
      </c>
      <c r="N74" s="341">
        <f>L74*0</f>
        <v>0</v>
      </c>
      <c r="O74" s="342">
        <f>L74*1</f>
        <v>149.96</v>
      </c>
      <c r="P74" s="343" t="s">
        <v>454</v>
      </c>
    </row>
    <row r="75" spans="1:16" x14ac:dyDescent="0.35">
      <c r="A75" s="344" t="s">
        <v>1011</v>
      </c>
      <c r="B75" s="344">
        <v>9665</v>
      </c>
      <c r="C75" s="345" t="s">
        <v>91</v>
      </c>
      <c r="D75" s="346" t="s">
        <v>26</v>
      </c>
      <c r="E75" s="332">
        <v>135</v>
      </c>
      <c r="F75" s="333">
        <v>54</v>
      </c>
      <c r="G75" s="335">
        <v>13.5</v>
      </c>
      <c r="H75" s="335">
        <v>67.5</v>
      </c>
      <c r="I75" s="347"/>
      <c r="J75" s="348"/>
      <c r="K75" s="349"/>
      <c r="L75" s="350">
        <f t="shared" si="3"/>
        <v>135</v>
      </c>
      <c r="M75" s="340">
        <f t="shared" si="16"/>
        <v>54</v>
      </c>
      <c r="N75" s="341">
        <f t="shared" si="17"/>
        <v>13.5</v>
      </c>
      <c r="O75" s="342">
        <f t="shared" si="18"/>
        <v>67.5</v>
      </c>
      <c r="P75" s="343" t="s">
        <v>454</v>
      </c>
    </row>
    <row r="76" spans="1:16" x14ac:dyDescent="0.35">
      <c r="A76" s="344" t="s">
        <v>1005</v>
      </c>
      <c r="B76" s="344">
        <v>8444</v>
      </c>
      <c r="C76" s="345" t="s">
        <v>67</v>
      </c>
      <c r="D76" s="346" t="s">
        <v>26</v>
      </c>
      <c r="E76" s="332">
        <v>108.054</v>
      </c>
      <c r="F76" s="333">
        <v>43.221600000000002</v>
      </c>
      <c r="G76" s="335">
        <v>10.805400000000001</v>
      </c>
      <c r="H76" s="335">
        <v>54.027000000000001</v>
      </c>
      <c r="I76" s="347"/>
      <c r="J76" s="348"/>
      <c r="K76" s="349"/>
      <c r="L76" s="350">
        <f t="shared" si="3"/>
        <v>108.054</v>
      </c>
      <c r="M76" s="340">
        <f t="shared" si="16"/>
        <v>43.221600000000002</v>
      </c>
      <c r="N76" s="341">
        <f t="shared" si="17"/>
        <v>10.805400000000001</v>
      </c>
      <c r="O76" s="342">
        <f t="shared" si="18"/>
        <v>54.027000000000001</v>
      </c>
      <c r="P76" s="343" t="s">
        <v>454</v>
      </c>
    </row>
    <row r="77" spans="1:16" x14ac:dyDescent="0.35">
      <c r="A77" s="344" t="s">
        <v>1007</v>
      </c>
      <c r="B77" s="344">
        <v>8420</v>
      </c>
      <c r="C77" s="345" t="s">
        <v>98</v>
      </c>
      <c r="D77" s="346" t="s">
        <v>26</v>
      </c>
      <c r="E77" s="332">
        <v>96.048000000000002</v>
      </c>
      <c r="F77" s="333">
        <v>38.419200000000004</v>
      </c>
      <c r="G77" s="335">
        <v>9.6048000000000009</v>
      </c>
      <c r="H77" s="335">
        <v>48.024000000000001</v>
      </c>
      <c r="I77" s="347"/>
      <c r="J77" s="348"/>
      <c r="K77" s="349"/>
      <c r="L77" s="350">
        <f t="shared" si="3"/>
        <v>96.048000000000002</v>
      </c>
      <c r="M77" s="340">
        <f t="shared" si="16"/>
        <v>38.419200000000004</v>
      </c>
      <c r="N77" s="341">
        <f t="shared" si="17"/>
        <v>9.6048000000000009</v>
      </c>
      <c r="O77" s="342">
        <f t="shared" si="18"/>
        <v>48.024000000000001</v>
      </c>
      <c r="P77" s="343" t="s">
        <v>454</v>
      </c>
    </row>
    <row r="78" spans="1:16" x14ac:dyDescent="0.35">
      <c r="A78" s="351" t="s">
        <v>1036</v>
      </c>
      <c r="B78" s="351">
        <v>8960</v>
      </c>
      <c r="C78" s="352" t="s">
        <v>1037</v>
      </c>
      <c r="D78" s="353" t="s">
        <v>26</v>
      </c>
      <c r="E78" s="332">
        <v>64.031999999999996</v>
      </c>
      <c r="F78" s="333">
        <v>25.6128</v>
      </c>
      <c r="G78" s="335">
        <v>6.4032</v>
      </c>
      <c r="H78" s="335">
        <v>32.015999999999998</v>
      </c>
      <c r="I78" s="354"/>
      <c r="J78" s="348"/>
      <c r="K78" s="349"/>
      <c r="L78" s="350">
        <f t="shared" si="3"/>
        <v>64.031999999999996</v>
      </c>
      <c r="M78" s="340">
        <f t="shared" si="16"/>
        <v>25.6128</v>
      </c>
      <c r="N78" s="341">
        <f t="shared" si="17"/>
        <v>6.4032</v>
      </c>
      <c r="O78" s="342">
        <f t="shared" si="18"/>
        <v>32.015999999999998</v>
      </c>
      <c r="P78" s="343" t="s">
        <v>454</v>
      </c>
    </row>
    <row r="79" spans="1:16" x14ac:dyDescent="0.35">
      <c r="A79" s="344" t="s">
        <v>1013</v>
      </c>
      <c r="B79" s="344">
        <v>8018</v>
      </c>
      <c r="C79" s="345" t="s">
        <v>88</v>
      </c>
      <c r="D79" s="346" t="s">
        <v>26</v>
      </c>
      <c r="E79" s="332">
        <v>54.027000000000001</v>
      </c>
      <c r="F79" s="333">
        <v>21.610800000000001</v>
      </c>
      <c r="G79" s="335">
        <v>5.4027000000000003</v>
      </c>
      <c r="H79" s="335">
        <v>27.013500000000001</v>
      </c>
      <c r="I79" s="347"/>
      <c r="J79" s="348"/>
      <c r="K79" s="349"/>
      <c r="L79" s="350">
        <f>E79-J79-K79</f>
        <v>54.027000000000001</v>
      </c>
      <c r="M79" s="340">
        <f t="shared" si="16"/>
        <v>21.610800000000001</v>
      </c>
      <c r="N79" s="341">
        <f t="shared" si="17"/>
        <v>5.4027000000000003</v>
      </c>
      <c r="O79" s="342">
        <f t="shared" si="18"/>
        <v>27.013500000000001</v>
      </c>
      <c r="P79" s="343" t="s">
        <v>454</v>
      </c>
    </row>
    <row r="80" spans="1:16" x14ac:dyDescent="0.35">
      <c r="A80" s="344" t="s">
        <v>1015</v>
      </c>
      <c r="B80" s="344">
        <v>8539</v>
      </c>
      <c r="C80" s="345" t="s">
        <v>96</v>
      </c>
      <c r="D80" s="346" t="s">
        <v>26</v>
      </c>
      <c r="E80" s="332">
        <v>40.020000000000003</v>
      </c>
      <c r="F80" s="333">
        <v>16.008000000000003</v>
      </c>
      <c r="G80" s="335">
        <v>4.0020000000000007</v>
      </c>
      <c r="H80" s="335">
        <v>20.010000000000002</v>
      </c>
      <c r="I80" s="347"/>
      <c r="J80" s="348"/>
      <c r="K80" s="349"/>
      <c r="L80" s="350">
        <f t="shared" ref="L80:L101" si="19">E80-J80-K80</f>
        <v>40.020000000000003</v>
      </c>
      <c r="M80" s="340">
        <f t="shared" si="16"/>
        <v>16.008000000000003</v>
      </c>
      <c r="N80" s="341">
        <f t="shared" si="17"/>
        <v>4.0020000000000007</v>
      </c>
      <c r="O80" s="342">
        <f t="shared" si="18"/>
        <v>20.010000000000002</v>
      </c>
      <c r="P80" s="343" t="s">
        <v>454</v>
      </c>
    </row>
    <row r="81" spans="1:16" x14ac:dyDescent="0.35">
      <c r="A81" s="344" t="s">
        <v>1028</v>
      </c>
      <c r="B81" s="344">
        <v>9541</v>
      </c>
      <c r="C81" s="345" t="s">
        <v>1029</v>
      </c>
      <c r="D81" s="346" t="s">
        <v>26</v>
      </c>
      <c r="E81" s="332">
        <v>40.020000000000003</v>
      </c>
      <c r="F81" s="333">
        <v>16.008000000000003</v>
      </c>
      <c r="G81" s="335">
        <v>4.0020000000000007</v>
      </c>
      <c r="H81" s="335">
        <v>20.010000000000002</v>
      </c>
      <c r="I81" s="347"/>
      <c r="J81" s="348"/>
      <c r="K81" s="349"/>
      <c r="L81" s="350">
        <f t="shared" si="19"/>
        <v>40.020000000000003</v>
      </c>
      <c r="M81" s="340">
        <f t="shared" si="16"/>
        <v>16.008000000000003</v>
      </c>
      <c r="N81" s="341">
        <f t="shared" si="17"/>
        <v>4.0020000000000007</v>
      </c>
      <c r="O81" s="342">
        <f t="shared" si="18"/>
        <v>20.010000000000002</v>
      </c>
      <c r="P81" s="343" t="s">
        <v>454</v>
      </c>
    </row>
    <row r="82" spans="1:16" x14ac:dyDescent="0.35">
      <c r="A82" s="344" t="s">
        <v>1014</v>
      </c>
      <c r="B82" s="344">
        <v>8466</v>
      </c>
      <c r="C82" s="345" t="s">
        <v>82</v>
      </c>
      <c r="D82" s="346" t="s">
        <v>26</v>
      </c>
      <c r="E82" s="332">
        <v>39</v>
      </c>
      <c r="F82" s="333">
        <v>15.600000000000001</v>
      </c>
      <c r="G82" s="335">
        <v>3.9000000000000004</v>
      </c>
      <c r="H82" s="335">
        <v>19.5</v>
      </c>
      <c r="I82" s="347"/>
      <c r="J82" s="348"/>
      <c r="K82" s="349"/>
      <c r="L82" s="350">
        <f t="shared" si="19"/>
        <v>39</v>
      </c>
      <c r="M82" s="340">
        <f t="shared" si="16"/>
        <v>15.600000000000001</v>
      </c>
      <c r="N82" s="341">
        <f t="shared" si="17"/>
        <v>3.9000000000000004</v>
      </c>
      <c r="O82" s="342">
        <f t="shared" si="18"/>
        <v>19.5</v>
      </c>
      <c r="P82" s="343" t="s">
        <v>454</v>
      </c>
    </row>
    <row r="83" spans="1:16" x14ac:dyDescent="0.35">
      <c r="A83" s="344" t="s">
        <v>1021</v>
      </c>
      <c r="B83" s="344">
        <v>7969</v>
      </c>
      <c r="C83" s="345" t="s">
        <v>100</v>
      </c>
      <c r="D83" s="346" t="s">
        <v>26</v>
      </c>
      <c r="E83" s="332">
        <v>30</v>
      </c>
      <c r="F83" s="333"/>
      <c r="G83" s="335"/>
      <c r="H83" s="335">
        <v>30</v>
      </c>
      <c r="I83" s="347" t="s">
        <v>14</v>
      </c>
      <c r="J83" s="348"/>
      <c r="K83" s="349"/>
      <c r="L83" s="350">
        <f t="shared" si="19"/>
        <v>30</v>
      </c>
      <c r="M83" s="340">
        <f>L83*0</f>
        <v>0</v>
      </c>
      <c r="N83" s="341">
        <f>L83*0</f>
        <v>0</v>
      </c>
      <c r="O83" s="342">
        <f>L83*1</f>
        <v>30</v>
      </c>
      <c r="P83" s="343" t="s">
        <v>454</v>
      </c>
    </row>
    <row r="84" spans="1:16" x14ac:dyDescent="0.35">
      <c r="A84" s="344" t="s">
        <v>1019</v>
      </c>
      <c r="B84" s="344">
        <v>8649</v>
      </c>
      <c r="C84" s="345" t="s">
        <v>82</v>
      </c>
      <c r="D84" s="346" t="s">
        <v>26</v>
      </c>
      <c r="E84" s="332">
        <v>28.013999999999999</v>
      </c>
      <c r="F84" s="333">
        <v>11.2056</v>
      </c>
      <c r="G84" s="335">
        <v>2.8014000000000001</v>
      </c>
      <c r="H84" s="335">
        <v>14.007</v>
      </c>
      <c r="I84" s="347"/>
      <c r="J84" s="348"/>
      <c r="K84" s="349"/>
      <c r="L84" s="350">
        <f t="shared" si="19"/>
        <v>28.013999999999999</v>
      </c>
      <c r="M84" s="340">
        <f t="shared" si="16"/>
        <v>11.2056</v>
      </c>
      <c r="N84" s="341">
        <f t="shared" si="17"/>
        <v>2.8014000000000001</v>
      </c>
      <c r="O84" s="342">
        <f t="shared" si="18"/>
        <v>14.007</v>
      </c>
      <c r="P84" s="343" t="s">
        <v>454</v>
      </c>
    </row>
    <row r="85" spans="1:16" x14ac:dyDescent="0.35">
      <c r="A85" s="344" t="s">
        <v>1012</v>
      </c>
      <c r="B85" s="344">
        <v>8970</v>
      </c>
      <c r="C85" s="345" t="s">
        <v>67</v>
      </c>
      <c r="D85" s="346" t="s">
        <v>26</v>
      </c>
      <c r="E85" s="332">
        <v>20</v>
      </c>
      <c r="F85" s="333">
        <v>8</v>
      </c>
      <c r="G85" s="335">
        <v>2</v>
      </c>
      <c r="H85" s="335">
        <v>10</v>
      </c>
      <c r="I85" s="347"/>
      <c r="J85" s="348"/>
      <c r="K85" s="349"/>
      <c r="L85" s="350">
        <f t="shared" si="19"/>
        <v>20</v>
      </c>
      <c r="M85" s="340">
        <f t="shared" si="16"/>
        <v>8</v>
      </c>
      <c r="N85" s="341">
        <f t="shared" si="17"/>
        <v>2</v>
      </c>
      <c r="O85" s="342">
        <f t="shared" si="18"/>
        <v>10</v>
      </c>
      <c r="P85" s="343" t="s">
        <v>454</v>
      </c>
    </row>
    <row r="86" spans="1:16" x14ac:dyDescent="0.35">
      <c r="A86" s="344" t="s">
        <v>1023</v>
      </c>
      <c r="B86" s="344">
        <v>6841</v>
      </c>
      <c r="C86" s="345" t="s">
        <v>105</v>
      </c>
      <c r="D86" s="346" t="s">
        <v>26</v>
      </c>
      <c r="E86" s="332">
        <v>12.006</v>
      </c>
      <c r="F86" s="333">
        <v>4.8024000000000004</v>
      </c>
      <c r="G86" s="335">
        <v>1.2006000000000001</v>
      </c>
      <c r="H86" s="335">
        <v>6.0030000000000001</v>
      </c>
      <c r="I86" s="347"/>
      <c r="J86" s="348"/>
      <c r="K86" s="349"/>
      <c r="L86" s="350">
        <f t="shared" si="19"/>
        <v>12.006</v>
      </c>
      <c r="M86" s="340">
        <f t="shared" si="16"/>
        <v>4.8024000000000004</v>
      </c>
      <c r="N86" s="341">
        <f t="shared" si="17"/>
        <v>1.2006000000000001</v>
      </c>
      <c r="O86" s="342">
        <f t="shared" si="18"/>
        <v>6.0030000000000001</v>
      </c>
      <c r="P86" s="343" t="s">
        <v>454</v>
      </c>
    </row>
    <row r="87" spans="1:16" x14ac:dyDescent="0.35">
      <c r="A87" s="344" t="s">
        <v>1020</v>
      </c>
      <c r="B87" s="344">
        <v>9877</v>
      </c>
      <c r="C87" s="345" t="s">
        <v>102</v>
      </c>
      <c r="D87" s="346" t="s">
        <v>26</v>
      </c>
      <c r="E87" s="332">
        <v>12</v>
      </c>
      <c r="F87" s="333">
        <v>4.8000000000000007</v>
      </c>
      <c r="G87" s="335">
        <v>1.2000000000000002</v>
      </c>
      <c r="H87" s="335">
        <v>6</v>
      </c>
      <c r="I87" s="347"/>
      <c r="J87" s="348"/>
      <c r="K87" s="349"/>
      <c r="L87" s="350">
        <f t="shared" si="19"/>
        <v>12</v>
      </c>
      <c r="M87" s="340">
        <f t="shared" si="16"/>
        <v>4.8000000000000007</v>
      </c>
      <c r="N87" s="341">
        <f t="shared" si="17"/>
        <v>1.2000000000000002</v>
      </c>
      <c r="O87" s="342">
        <f t="shared" si="18"/>
        <v>6</v>
      </c>
      <c r="P87" s="343" t="s">
        <v>454</v>
      </c>
    </row>
    <row r="88" spans="1:16" x14ac:dyDescent="0.35">
      <c r="A88" s="344" t="s">
        <v>931</v>
      </c>
      <c r="B88" s="344">
        <v>8120</v>
      </c>
      <c r="C88" s="345" t="s">
        <v>932</v>
      </c>
      <c r="D88" s="346" t="s">
        <v>26</v>
      </c>
      <c r="E88" s="332">
        <v>5</v>
      </c>
      <c r="F88" s="333"/>
      <c r="G88" s="335"/>
      <c r="H88" s="335">
        <v>5</v>
      </c>
      <c r="I88" s="347" t="s">
        <v>14</v>
      </c>
      <c r="J88" s="348"/>
      <c r="K88" s="349"/>
      <c r="L88" s="350">
        <f t="shared" si="19"/>
        <v>5</v>
      </c>
      <c r="M88" s="340">
        <f>L88*0</f>
        <v>0</v>
      </c>
      <c r="N88" s="341">
        <f>L88*0</f>
        <v>0</v>
      </c>
      <c r="O88" s="342">
        <f>L88*1</f>
        <v>5</v>
      </c>
      <c r="P88" s="343" t="s">
        <v>454</v>
      </c>
    </row>
    <row r="89" spans="1:16" x14ac:dyDescent="0.35">
      <c r="A89" s="344" t="s">
        <v>1022</v>
      </c>
      <c r="B89" s="344">
        <v>7544</v>
      </c>
      <c r="C89" s="345" t="s">
        <v>93</v>
      </c>
      <c r="D89" s="346" t="s">
        <v>26</v>
      </c>
      <c r="E89" s="332">
        <v>5</v>
      </c>
      <c r="F89" s="333">
        <v>2</v>
      </c>
      <c r="G89" s="335">
        <v>0.5</v>
      </c>
      <c r="H89" s="335">
        <v>2.5</v>
      </c>
      <c r="I89" s="347"/>
      <c r="J89" s="348"/>
      <c r="K89" s="349"/>
      <c r="L89" s="350">
        <f t="shared" si="19"/>
        <v>5</v>
      </c>
      <c r="M89" s="340">
        <f t="shared" si="16"/>
        <v>2</v>
      </c>
      <c r="N89" s="341">
        <f t="shared" si="17"/>
        <v>0.5</v>
      </c>
      <c r="O89" s="342">
        <f t="shared" si="18"/>
        <v>2.5</v>
      </c>
      <c r="P89" s="343" t="s">
        <v>454</v>
      </c>
    </row>
    <row r="90" spans="1:16" x14ac:dyDescent="0.35">
      <c r="A90" s="344" t="s">
        <v>939</v>
      </c>
      <c r="B90" s="344">
        <v>7049</v>
      </c>
      <c r="C90" s="345" t="s">
        <v>47</v>
      </c>
      <c r="D90" s="346" t="s">
        <v>28</v>
      </c>
      <c r="E90" s="332"/>
      <c r="F90" s="333">
        <v>0</v>
      </c>
      <c r="G90" s="335">
        <v>0</v>
      </c>
      <c r="H90" s="335">
        <v>0</v>
      </c>
      <c r="I90" s="347"/>
      <c r="J90" s="348"/>
      <c r="K90" s="349"/>
      <c r="L90" s="350">
        <f t="shared" si="19"/>
        <v>0</v>
      </c>
      <c r="M90" s="340">
        <f t="shared" si="16"/>
        <v>0</v>
      </c>
      <c r="N90" s="341">
        <f t="shared" si="17"/>
        <v>0</v>
      </c>
      <c r="O90" s="342">
        <f t="shared" si="18"/>
        <v>0</v>
      </c>
      <c r="P90" s="343" t="s">
        <v>454</v>
      </c>
    </row>
    <row r="91" spans="1:16" x14ac:dyDescent="0.35">
      <c r="A91" s="344" t="s">
        <v>954</v>
      </c>
      <c r="B91" s="344">
        <v>7644</v>
      </c>
      <c r="C91" s="345" t="s">
        <v>55</v>
      </c>
      <c r="D91" s="346" t="s">
        <v>28</v>
      </c>
      <c r="E91" s="332"/>
      <c r="F91" s="333">
        <v>0</v>
      </c>
      <c r="G91" s="335">
        <v>0</v>
      </c>
      <c r="H91" s="335">
        <v>0</v>
      </c>
      <c r="I91" s="347"/>
      <c r="J91" s="348"/>
      <c r="K91" s="349"/>
      <c r="L91" s="350">
        <f t="shared" si="19"/>
        <v>0</v>
      </c>
      <c r="M91" s="340">
        <f t="shared" si="16"/>
        <v>0</v>
      </c>
      <c r="N91" s="341">
        <f t="shared" si="17"/>
        <v>0</v>
      </c>
      <c r="O91" s="342">
        <f t="shared" si="18"/>
        <v>0</v>
      </c>
      <c r="P91" s="343" t="s">
        <v>454</v>
      </c>
    </row>
    <row r="92" spans="1:16" x14ac:dyDescent="0.35">
      <c r="A92" s="344" t="s">
        <v>963</v>
      </c>
      <c r="B92" s="344" t="s">
        <v>964</v>
      </c>
      <c r="C92" s="345" t="s">
        <v>123</v>
      </c>
      <c r="D92" s="346" t="s">
        <v>28</v>
      </c>
      <c r="E92" s="332"/>
      <c r="F92" s="333">
        <v>0</v>
      </c>
      <c r="G92" s="335">
        <v>0</v>
      </c>
      <c r="H92" s="335">
        <v>0</v>
      </c>
      <c r="I92" s="347"/>
      <c r="J92" s="348"/>
      <c r="K92" s="349"/>
      <c r="L92" s="350">
        <f t="shared" si="19"/>
        <v>0</v>
      </c>
      <c r="M92" s="340">
        <f t="shared" si="16"/>
        <v>0</v>
      </c>
      <c r="N92" s="341">
        <f t="shared" si="17"/>
        <v>0</v>
      </c>
      <c r="O92" s="342">
        <f t="shared" si="18"/>
        <v>0</v>
      </c>
      <c r="P92" s="343" t="s">
        <v>454</v>
      </c>
    </row>
    <row r="93" spans="1:16" x14ac:dyDescent="0.35">
      <c r="A93" s="344" t="s">
        <v>974</v>
      </c>
      <c r="B93" s="344">
        <v>7957</v>
      </c>
      <c r="C93" s="345" t="s">
        <v>62</v>
      </c>
      <c r="D93" s="346" t="s">
        <v>28</v>
      </c>
      <c r="E93" s="332"/>
      <c r="F93" s="333">
        <v>0</v>
      </c>
      <c r="G93" s="335">
        <v>0</v>
      </c>
      <c r="H93" s="335">
        <v>0</v>
      </c>
      <c r="I93" s="347"/>
      <c r="J93" s="348"/>
      <c r="K93" s="349"/>
      <c r="L93" s="350">
        <f t="shared" si="19"/>
        <v>0</v>
      </c>
      <c r="M93" s="340">
        <f t="shared" si="16"/>
        <v>0</v>
      </c>
      <c r="N93" s="341">
        <f t="shared" si="17"/>
        <v>0</v>
      </c>
      <c r="O93" s="342">
        <f t="shared" si="18"/>
        <v>0</v>
      </c>
      <c r="P93" s="343" t="s">
        <v>454</v>
      </c>
    </row>
    <row r="94" spans="1:16" x14ac:dyDescent="0.35">
      <c r="A94" s="344" t="s">
        <v>975</v>
      </c>
      <c r="B94" s="344">
        <v>9158</v>
      </c>
      <c r="C94" s="345" t="s">
        <v>53</v>
      </c>
      <c r="D94" s="346" t="s">
        <v>28</v>
      </c>
      <c r="E94" s="332"/>
      <c r="F94" s="333">
        <v>0</v>
      </c>
      <c r="G94" s="335">
        <v>0</v>
      </c>
      <c r="H94" s="335">
        <v>0</v>
      </c>
      <c r="I94" s="347"/>
      <c r="J94" s="348"/>
      <c r="K94" s="349"/>
      <c r="L94" s="350">
        <f t="shared" si="19"/>
        <v>0</v>
      </c>
      <c r="M94" s="340">
        <f t="shared" si="16"/>
        <v>0</v>
      </c>
      <c r="N94" s="341">
        <f t="shared" si="17"/>
        <v>0</v>
      </c>
      <c r="O94" s="342">
        <f t="shared" si="18"/>
        <v>0</v>
      </c>
      <c r="P94" s="343" t="s">
        <v>454</v>
      </c>
    </row>
    <row r="95" spans="1:16" x14ac:dyDescent="0.35">
      <c r="A95" s="344" t="s">
        <v>985</v>
      </c>
      <c r="B95" s="344">
        <v>7100</v>
      </c>
      <c r="C95" s="345" t="s">
        <v>81</v>
      </c>
      <c r="D95" s="346" t="s">
        <v>28</v>
      </c>
      <c r="E95" s="332"/>
      <c r="F95" s="333">
        <v>0</v>
      </c>
      <c r="G95" s="335"/>
      <c r="H95" s="335">
        <v>0</v>
      </c>
      <c r="I95" s="347" t="s">
        <v>41</v>
      </c>
      <c r="J95" s="348"/>
      <c r="K95" s="349"/>
      <c r="L95" s="350">
        <f>E95-J95-K95</f>
        <v>0</v>
      </c>
      <c r="M95" s="340">
        <f>L95*0.1</f>
        <v>0</v>
      </c>
      <c r="N95" s="341">
        <f>L95*0</f>
        <v>0</v>
      </c>
      <c r="O95" s="342">
        <f>L95*0.9</f>
        <v>0</v>
      </c>
      <c r="P95" s="343" t="s">
        <v>454</v>
      </c>
    </row>
    <row r="96" spans="1:16" x14ac:dyDescent="0.35">
      <c r="A96" s="344" t="s">
        <v>997</v>
      </c>
      <c r="B96" s="344">
        <v>8022</v>
      </c>
      <c r="C96" s="345" t="s">
        <v>998</v>
      </c>
      <c r="D96" s="346" t="s">
        <v>26</v>
      </c>
      <c r="E96" s="332"/>
      <c r="F96" s="333">
        <v>0</v>
      </c>
      <c r="G96" s="335">
        <v>0</v>
      </c>
      <c r="H96" s="335">
        <v>0</v>
      </c>
      <c r="I96" s="347"/>
      <c r="J96" s="348"/>
      <c r="K96" s="349"/>
      <c r="L96" s="350">
        <f t="shared" si="19"/>
        <v>0</v>
      </c>
      <c r="M96" s="340">
        <f t="shared" si="16"/>
        <v>0</v>
      </c>
      <c r="N96" s="341">
        <f t="shared" si="17"/>
        <v>0</v>
      </c>
      <c r="O96" s="342">
        <f t="shared" si="18"/>
        <v>0</v>
      </c>
      <c r="P96" s="343" t="s">
        <v>454</v>
      </c>
    </row>
    <row r="97" spans="1:16" x14ac:dyDescent="0.35">
      <c r="A97" s="344" t="s">
        <v>1016</v>
      </c>
      <c r="B97" s="344">
        <v>6071</v>
      </c>
      <c r="C97" s="345" t="s">
        <v>84</v>
      </c>
      <c r="D97" s="346" t="s">
        <v>26</v>
      </c>
      <c r="E97" s="332"/>
      <c r="F97" s="333">
        <v>0</v>
      </c>
      <c r="G97" s="335">
        <v>0</v>
      </c>
      <c r="H97" s="335">
        <v>0</v>
      </c>
      <c r="I97" s="347"/>
      <c r="J97" s="348"/>
      <c r="K97" s="349"/>
      <c r="L97" s="350">
        <f t="shared" si="19"/>
        <v>0</v>
      </c>
      <c r="M97" s="340">
        <f t="shared" si="16"/>
        <v>0</v>
      </c>
      <c r="N97" s="341">
        <f t="shared" si="17"/>
        <v>0</v>
      </c>
      <c r="O97" s="342">
        <f t="shared" si="18"/>
        <v>0</v>
      </c>
      <c r="P97" s="343" t="s">
        <v>454</v>
      </c>
    </row>
    <row r="98" spans="1:16" x14ac:dyDescent="0.35">
      <c r="A98" s="344" t="s">
        <v>1017</v>
      </c>
      <c r="B98" s="344">
        <v>9181</v>
      </c>
      <c r="C98" s="345" t="s">
        <v>1018</v>
      </c>
      <c r="D98" s="346" t="s">
        <v>28</v>
      </c>
      <c r="E98" s="332"/>
      <c r="F98" s="333">
        <v>0</v>
      </c>
      <c r="G98" s="335"/>
      <c r="H98" s="335">
        <v>0</v>
      </c>
      <c r="I98" s="347" t="s">
        <v>41</v>
      </c>
      <c r="J98" s="348"/>
      <c r="K98" s="349"/>
      <c r="L98" s="350">
        <f>E98-J98-K98</f>
        <v>0</v>
      </c>
      <c r="M98" s="340">
        <f>L98*0.1</f>
        <v>0</v>
      </c>
      <c r="N98" s="341">
        <f>L98*0</f>
        <v>0</v>
      </c>
      <c r="O98" s="342">
        <f>L98*0.9</f>
        <v>0</v>
      </c>
      <c r="P98" s="343" t="s">
        <v>454</v>
      </c>
    </row>
    <row r="99" spans="1:16" x14ac:dyDescent="0.35">
      <c r="A99" s="344" t="s">
        <v>1024</v>
      </c>
      <c r="B99" s="344">
        <v>8050</v>
      </c>
      <c r="C99" s="345" t="s">
        <v>29</v>
      </c>
      <c r="D99" s="346" t="s">
        <v>26</v>
      </c>
      <c r="E99" s="332"/>
      <c r="F99" s="333"/>
      <c r="G99" s="335"/>
      <c r="H99" s="335">
        <v>0</v>
      </c>
      <c r="I99" s="347" t="s">
        <v>14</v>
      </c>
      <c r="J99" s="348"/>
      <c r="K99" s="349"/>
      <c r="L99" s="350">
        <f>E99-J99-K99</f>
        <v>0</v>
      </c>
      <c r="M99" s="340">
        <f t="shared" ref="M99:M101" si="20">L99*0</f>
        <v>0</v>
      </c>
      <c r="N99" s="341">
        <f t="shared" ref="N99:N101" si="21">L99*0</f>
        <v>0</v>
      </c>
      <c r="O99" s="342">
        <f t="shared" ref="O99:O101" si="22">L99*1</f>
        <v>0</v>
      </c>
      <c r="P99" s="343" t="s">
        <v>454</v>
      </c>
    </row>
    <row r="100" spans="1:16" x14ac:dyDescent="0.35">
      <c r="A100" s="344" t="s">
        <v>1033</v>
      </c>
      <c r="B100" s="344">
        <v>8120</v>
      </c>
      <c r="C100" s="345" t="s">
        <v>932</v>
      </c>
      <c r="D100" s="346" t="s">
        <v>26</v>
      </c>
      <c r="E100" s="332"/>
      <c r="F100" s="333"/>
      <c r="G100" s="335"/>
      <c r="H100" s="335">
        <v>0</v>
      </c>
      <c r="I100" s="347" t="s">
        <v>14</v>
      </c>
      <c r="J100" s="348"/>
      <c r="K100" s="349"/>
      <c r="L100" s="350">
        <f t="shared" si="19"/>
        <v>0</v>
      </c>
      <c r="M100" s="340">
        <f t="shared" si="20"/>
        <v>0</v>
      </c>
      <c r="N100" s="341">
        <f t="shared" si="21"/>
        <v>0</v>
      </c>
      <c r="O100" s="342">
        <f t="shared" si="22"/>
        <v>0</v>
      </c>
      <c r="P100" s="343" t="s">
        <v>454</v>
      </c>
    </row>
    <row r="101" spans="1:16" ht="15" thickBot="1" x14ac:dyDescent="0.4">
      <c r="A101" s="344" t="s">
        <v>1034</v>
      </c>
      <c r="B101" s="344">
        <v>8120</v>
      </c>
      <c r="C101" s="345" t="s">
        <v>932</v>
      </c>
      <c r="D101" s="346" t="s">
        <v>26</v>
      </c>
      <c r="E101" s="332"/>
      <c r="F101" s="333"/>
      <c r="G101" s="335"/>
      <c r="H101" s="335">
        <v>0</v>
      </c>
      <c r="I101" s="347" t="s">
        <v>14</v>
      </c>
      <c r="J101" s="355"/>
      <c r="K101" s="349"/>
      <c r="L101" s="350">
        <f t="shared" si="19"/>
        <v>0</v>
      </c>
      <c r="M101" s="340">
        <f t="shared" si="20"/>
        <v>0</v>
      </c>
      <c r="N101" s="341">
        <f t="shared" si="21"/>
        <v>0</v>
      </c>
      <c r="O101" s="342">
        <f t="shared" si="22"/>
        <v>0</v>
      </c>
      <c r="P101" s="343" t="s">
        <v>454</v>
      </c>
    </row>
    <row r="102" spans="1:16" ht="15.5" thickTop="1" thickBot="1" x14ac:dyDescent="0.4">
      <c r="B102" s="356"/>
      <c r="C102" s="357"/>
      <c r="D102" s="358" t="s">
        <v>22</v>
      </c>
      <c r="E102" s="359">
        <f>SUM(E4:E101)</f>
        <v>13310328.2445</v>
      </c>
      <c r="F102" s="360">
        <f>SUM(F4:F101)</f>
        <v>2572703.5449999985</v>
      </c>
      <c r="G102" s="360">
        <f>SUM(G4:G101)</f>
        <v>634956.65694999951</v>
      </c>
      <c r="H102" s="361">
        <f>SUM(H4:H101)</f>
        <v>10102668.042550003</v>
      </c>
      <c r="I102" s="362"/>
      <c r="J102" s="363">
        <f t="shared" ref="J102:O102" si="23">SUM(J4:J101)</f>
        <v>199163.87999999992</v>
      </c>
      <c r="K102" s="364">
        <f t="shared" si="23"/>
        <v>0</v>
      </c>
      <c r="L102" s="365">
        <f t="shared" si="23"/>
        <v>13111164.364500003</v>
      </c>
      <c r="M102" s="365">
        <f t="shared" si="23"/>
        <v>2505939.3839499992</v>
      </c>
      <c r="N102" s="366">
        <f t="shared" si="23"/>
        <v>618386.40204999968</v>
      </c>
      <c r="O102" s="367">
        <f t="shared" si="23"/>
        <v>9986838.578499997</v>
      </c>
      <c r="P102" s="368"/>
    </row>
    <row r="103" spans="1:16" ht="15" thickTop="1" x14ac:dyDescent="0.35">
      <c r="N103" s="370"/>
      <c r="O103" s="370"/>
    </row>
    <row r="104" spans="1:16" x14ac:dyDescent="0.35">
      <c r="E104" s="371"/>
      <c r="F104" s="371"/>
      <c r="G104" s="371"/>
      <c r="H104" s="371"/>
      <c r="L104" s="370"/>
      <c r="M104" s="370"/>
      <c r="N104" s="370"/>
      <c r="O104" s="370"/>
    </row>
    <row r="105" spans="1:16" x14ac:dyDescent="0.35">
      <c r="E105" s="370"/>
      <c r="F105" s="370"/>
      <c r="G105" s="370"/>
      <c r="H105" s="370"/>
    </row>
    <row r="106" spans="1:16" x14ac:dyDescent="0.35">
      <c r="E106" s="370"/>
      <c r="H106" s="372"/>
      <c r="N106" s="370"/>
      <c r="O106" s="370"/>
    </row>
    <row r="107" spans="1:16" x14ac:dyDescent="0.35">
      <c r="E107" s="370"/>
      <c r="F107" s="370"/>
      <c r="G107" s="370"/>
      <c r="H107" s="370"/>
      <c r="L107" s="370"/>
      <c r="M107" s="370"/>
      <c r="N107" s="370"/>
      <c r="O107" s="370"/>
    </row>
    <row r="110" spans="1:16" x14ac:dyDescent="0.35">
      <c r="J110" s="373"/>
      <c r="K110" s="373"/>
    </row>
    <row r="112" spans="1:16" x14ac:dyDescent="0.35">
      <c r="J112" s="373"/>
    </row>
  </sheetData>
  <mergeCells count="10">
    <mergeCell ref="J1:P1"/>
    <mergeCell ref="F2:I2"/>
    <mergeCell ref="J2:O2"/>
    <mergeCell ref="P2:P3"/>
    <mergeCell ref="A1:A3"/>
    <mergeCell ref="B1:B3"/>
    <mergeCell ref="C1:C3"/>
    <mergeCell ref="D1:D3"/>
    <mergeCell ref="E1:E3"/>
    <mergeCell ref="F1:I1"/>
  </mergeCells>
  <conditionalFormatting sqref="A1:A3">
    <cfRule type="duplicateValues" dxfId="59" priority="13"/>
    <cfRule type="duplicateValues" dxfId="58" priority="14"/>
  </conditionalFormatting>
  <conditionalFormatting sqref="A4:B12 A14:B27 A29:B38 A40:B40 A42:B43 A45:B58 A60:B101">
    <cfRule type="duplicateValues" dxfId="57" priority="20"/>
    <cfRule type="duplicateValues" dxfId="56" priority="21"/>
  </conditionalFormatting>
  <conditionalFormatting sqref="A13:B13">
    <cfRule type="duplicateValues" dxfId="55" priority="11"/>
    <cfRule type="duplicateValues" dxfId="54" priority="12"/>
  </conditionalFormatting>
  <conditionalFormatting sqref="A28:B28">
    <cfRule type="duplicateValues" dxfId="53" priority="9"/>
    <cfRule type="duplicateValues" dxfId="52" priority="10"/>
  </conditionalFormatting>
  <conditionalFormatting sqref="A39:B39">
    <cfRule type="duplicateValues" dxfId="51" priority="7"/>
    <cfRule type="duplicateValues" dxfId="50" priority="8"/>
  </conditionalFormatting>
  <conditionalFormatting sqref="A41:B41">
    <cfRule type="duplicateValues" dxfId="49" priority="5"/>
    <cfRule type="duplicateValues" dxfId="48" priority="6"/>
  </conditionalFormatting>
  <conditionalFormatting sqref="A44:B44">
    <cfRule type="duplicateValues" dxfId="47" priority="3"/>
    <cfRule type="duplicateValues" dxfId="46" priority="4"/>
  </conditionalFormatting>
  <conditionalFormatting sqref="A59:B59">
    <cfRule type="duplicateValues" dxfId="45" priority="1"/>
    <cfRule type="duplicateValues" dxfId="44" priority="2"/>
  </conditionalFormatting>
  <conditionalFormatting sqref="B102:B1048576 B1:B3">
    <cfRule type="duplicateValues" dxfId="43" priority="19"/>
  </conditionalFormatting>
  <conditionalFormatting sqref="B102:C102">
    <cfRule type="duplicateValues" dxfId="42" priority="17"/>
  </conditionalFormatting>
  <conditionalFormatting sqref="E1">
    <cfRule type="duplicateValues" dxfId="41" priority="16"/>
  </conditionalFormatting>
  <conditionalFormatting sqref="E4:E101">
    <cfRule type="duplicateValues" dxfId="40" priority="22"/>
  </conditionalFormatting>
  <conditionalFormatting sqref="J3">
    <cfRule type="duplicateValues" dxfId="39" priority="15"/>
  </conditionalFormatting>
  <conditionalFormatting sqref="K3:L3">
    <cfRule type="duplicateValues" dxfId="38" priority="18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487E-6EC6-4556-A8BC-F14171E8323A}">
  <sheetPr>
    <tabColor rgb="FF00B050"/>
  </sheetPr>
  <dimension ref="A1:I295"/>
  <sheetViews>
    <sheetView workbookViewId="0">
      <selection activeCell="I203" sqref="I203"/>
    </sheetView>
  </sheetViews>
  <sheetFormatPr defaultRowHeight="12.5" x14ac:dyDescent="0.25"/>
  <cols>
    <col min="1" max="1" width="11" style="397" customWidth="1"/>
    <col min="2" max="2" width="42.21875" style="397" customWidth="1"/>
    <col min="3" max="3" width="18.109375" style="401" customWidth="1"/>
    <col min="4" max="4" width="17.109375" style="401" customWidth="1"/>
    <col min="5" max="5" width="18.21875" style="401" customWidth="1"/>
    <col min="6" max="6" width="16.88671875" style="401" customWidth="1"/>
    <col min="7" max="7" width="17.88671875" style="397" customWidth="1"/>
    <col min="8" max="8" width="13.109375" style="397" customWidth="1"/>
    <col min="9" max="9" width="13.77734375" style="397" bestFit="1" customWidth="1"/>
    <col min="10" max="16384" width="8.88671875" style="397"/>
  </cols>
  <sheetData>
    <row r="1" spans="1:9" s="375" customFormat="1" ht="13.5" customHeight="1" thickTop="1" x14ac:dyDescent="0.3">
      <c r="A1" s="587" t="s">
        <v>1044</v>
      </c>
      <c r="B1" s="589" t="s">
        <v>126</v>
      </c>
      <c r="C1" s="591" t="s">
        <v>1045</v>
      </c>
      <c r="D1" s="592"/>
      <c r="E1" s="593"/>
      <c r="F1" s="374" t="s">
        <v>2</v>
      </c>
      <c r="G1" s="594" t="s">
        <v>3</v>
      </c>
      <c r="H1" s="595"/>
    </row>
    <row r="2" spans="1:9" s="375" customFormat="1" ht="26.5" thickBot="1" x14ac:dyDescent="0.35">
      <c r="A2" s="588"/>
      <c r="B2" s="590"/>
      <c r="C2" s="376" t="s">
        <v>1046</v>
      </c>
      <c r="D2" s="377" t="s">
        <v>1047</v>
      </c>
      <c r="E2" s="378" t="s">
        <v>22</v>
      </c>
      <c r="F2" s="379" t="s">
        <v>1048</v>
      </c>
      <c r="G2" s="380" t="s">
        <v>1048</v>
      </c>
      <c r="H2" s="381" t="s">
        <v>5</v>
      </c>
    </row>
    <row r="3" spans="1:9" s="375" customFormat="1" ht="13.5" thickTop="1" x14ac:dyDescent="0.3">
      <c r="A3" s="382">
        <v>601524</v>
      </c>
      <c r="B3" s="383" t="s">
        <v>1049</v>
      </c>
      <c r="C3" s="384">
        <v>4284409.32</v>
      </c>
      <c r="D3" s="384">
        <v>753362.88</v>
      </c>
      <c r="E3" s="385">
        <v>5037772.2</v>
      </c>
      <c r="F3" s="386">
        <v>1763220.27</v>
      </c>
      <c r="G3" s="387">
        <f>E3*0.35</f>
        <v>1763220.27</v>
      </c>
      <c r="H3" s="388" t="s">
        <v>455</v>
      </c>
      <c r="I3" s="389"/>
    </row>
    <row r="4" spans="1:9" s="375" customFormat="1" ht="13" x14ac:dyDescent="0.3">
      <c r="A4" s="382">
        <v>601897</v>
      </c>
      <c r="B4" s="383" t="s">
        <v>1050</v>
      </c>
      <c r="C4" s="384">
        <v>3177642.9</v>
      </c>
      <c r="D4" s="384">
        <v>238942.2</v>
      </c>
      <c r="E4" s="385">
        <v>3416585.1</v>
      </c>
      <c r="F4" s="386">
        <v>1195804.7849999999</v>
      </c>
      <c r="G4" s="387">
        <f>E4*0.35</f>
        <v>1195804.7849999999</v>
      </c>
      <c r="H4" s="388" t="s">
        <v>455</v>
      </c>
      <c r="I4" s="389"/>
    </row>
    <row r="5" spans="1:9" s="375" customFormat="1" ht="13" x14ac:dyDescent="0.3">
      <c r="A5" s="382">
        <v>601513</v>
      </c>
      <c r="B5" s="383" t="s">
        <v>1051</v>
      </c>
      <c r="C5" s="384">
        <v>2858531.38</v>
      </c>
      <c r="D5" s="384">
        <v>460201.55</v>
      </c>
      <c r="E5" s="385">
        <v>3318732.9299999997</v>
      </c>
      <c r="F5" s="386">
        <v>1161556.5254999998</v>
      </c>
      <c r="G5" s="387">
        <f t="shared" ref="G5:G81" si="0">E5*0.35</f>
        <v>1161556.5254999998</v>
      </c>
      <c r="H5" s="388" t="s">
        <v>455</v>
      </c>
      <c r="I5" s="389"/>
    </row>
    <row r="6" spans="1:9" s="375" customFormat="1" ht="13" x14ac:dyDescent="0.3">
      <c r="A6" s="382">
        <v>601654</v>
      </c>
      <c r="B6" s="383" t="s">
        <v>1052</v>
      </c>
      <c r="C6" s="384">
        <v>2480304.52</v>
      </c>
      <c r="D6" s="384">
        <v>412517.52999999997</v>
      </c>
      <c r="E6" s="385">
        <v>2892822.05</v>
      </c>
      <c r="F6" s="386">
        <v>1012487.7174999999</v>
      </c>
      <c r="G6" s="387">
        <f t="shared" si="0"/>
        <v>1012487.7174999999</v>
      </c>
      <c r="H6" s="388" t="s">
        <v>455</v>
      </c>
      <c r="I6" s="389"/>
    </row>
    <row r="7" spans="1:9" s="375" customFormat="1" ht="13" x14ac:dyDescent="0.3">
      <c r="A7" s="382">
        <v>601647</v>
      </c>
      <c r="B7" s="383" t="s">
        <v>1053</v>
      </c>
      <c r="C7" s="384">
        <v>2250120</v>
      </c>
      <c r="D7" s="384">
        <v>534699.04999999993</v>
      </c>
      <c r="E7" s="385">
        <v>2784819.05</v>
      </c>
      <c r="F7" s="386">
        <v>974686.66749999986</v>
      </c>
      <c r="G7" s="387">
        <f t="shared" si="0"/>
        <v>974686.66749999986</v>
      </c>
      <c r="H7" s="388" t="s">
        <v>455</v>
      </c>
      <c r="I7" s="389"/>
    </row>
    <row r="8" spans="1:9" s="375" customFormat="1" ht="13" x14ac:dyDescent="0.3">
      <c r="A8" s="382">
        <v>601700</v>
      </c>
      <c r="B8" s="383" t="s">
        <v>1054</v>
      </c>
      <c r="C8" s="384">
        <v>2105331.79</v>
      </c>
      <c r="D8" s="384">
        <v>160821.96</v>
      </c>
      <c r="E8" s="385">
        <v>2266153.75</v>
      </c>
      <c r="F8" s="386">
        <v>793153.8125</v>
      </c>
      <c r="G8" s="387">
        <f t="shared" si="0"/>
        <v>793153.8125</v>
      </c>
      <c r="H8" s="388" t="s">
        <v>455</v>
      </c>
      <c r="I8" s="389"/>
    </row>
    <row r="9" spans="1:9" s="375" customFormat="1" ht="13" x14ac:dyDescent="0.3">
      <c r="A9" s="382">
        <v>601521</v>
      </c>
      <c r="B9" s="383" t="s">
        <v>1059</v>
      </c>
      <c r="C9" s="384">
        <v>1582543.41</v>
      </c>
      <c r="D9" s="384">
        <v>391728.45999999996</v>
      </c>
      <c r="E9" s="385">
        <v>1974271.8699999999</v>
      </c>
      <c r="F9" s="386">
        <v>690995.15449999995</v>
      </c>
      <c r="G9" s="387">
        <f t="shared" si="0"/>
        <v>690995.15449999995</v>
      </c>
      <c r="H9" s="388" t="s">
        <v>455</v>
      </c>
      <c r="I9" s="389"/>
    </row>
    <row r="10" spans="1:9" s="375" customFormat="1" ht="13" x14ac:dyDescent="0.3">
      <c r="A10" s="382">
        <v>601703</v>
      </c>
      <c r="B10" s="383" t="s">
        <v>1055</v>
      </c>
      <c r="C10" s="384">
        <v>1716867.19</v>
      </c>
      <c r="D10" s="384">
        <v>241632.07</v>
      </c>
      <c r="E10" s="385">
        <v>1958499.26</v>
      </c>
      <c r="F10" s="386">
        <v>685474.74099999992</v>
      </c>
      <c r="G10" s="387">
        <f t="shared" si="0"/>
        <v>685474.74099999992</v>
      </c>
      <c r="H10" s="388" t="s">
        <v>455</v>
      </c>
      <c r="I10" s="389"/>
    </row>
    <row r="11" spans="1:9" s="375" customFormat="1" ht="13" x14ac:dyDescent="0.3">
      <c r="A11" s="382">
        <v>601587</v>
      </c>
      <c r="B11" s="383" t="s">
        <v>1056</v>
      </c>
      <c r="C11" s="384">
        <v>1604279.94</v>
      </c>
      <c r="D11" s="384">
        <v>281821.76999999996</v>
      </c>
      <c r="E11" s="385">
        <v>1886101.71</v>
      </c>
      <c r="F11" s="386">
        <v>660135.59849999996</v>
      </c>
      <c r="G11" s="387">
        <f t="shared" si="0"/>
        <v>660135.59849999996</v>
      </c>
      <c r="H11" s="388" t="s">
        <v>455</v>
      </c>
      <c r="I11" s="389"/>
    </row>
    <row r="12" spans="1:9" s="375" customFormat="1" ht="13" x14ac:dyDescent="0.3">
      <c r="A12" s="382">
        <v>601788</v>
      </c>
      <c r="B12" s="383" t="s">
        <v>1057</v>
      </c>
      <c r="C12" s="384">
        <v>1445356.47</v>
      </c>
      <c r="D12" s="384">
        <v>425582.36</v>
      </c>
      <c r="E12" s="385">
        <v>1870938.83</v>
      </c>
      <c r="F12" s="386">
        <v>654828.59049999993</v>
      </c>
      <c r="G12" s="387">
        <f t="shared" si="0"/>
        <v>654828.59049999993</v>
      </c>
      <c r="H12" s="388" t="s">
        <v>455</v>
      </c>
      <c r="I12" s="389"/>
    </row>
    <row r="13" spans="1:9" s="375" customFormat="1" ht="13" x14ac:dyDescent="0.3">
      <c r="A13" s="382">
        <v>601516</v>
      </c>
      <c r="B13" s="383" t="s">
        <v>1058</v>
      </c>
      <c r="C13" s="384">
        <v>1690998.02</v>
      </c>
      <c r="D13" s="384">
        <v>124312.87000000001</v>
      </c>
      <c r="E13" s="385">
        <v>1815310.8900000001</v>
      </c>
      <c r="F13" s="386">
        <v>635358.81149999995</v>
      </c>
      <c r="G13" s="387">
        <f t="shared" si="0"/>
        <v>635358.81149999995</v>
      </c>
      <c r="H13" s="388" t="s">
        <v>455</v>
      </c>
      <c r="I13" s="389"/>
    </row>
    <row r="14" spans="1:9" s="375" customFormat="1" ht="13" x14ac:dyDescent="0.3">
      <c r="A14" s="382">
        <v>601633</v>
      </c>
      <c r="B14" s="383" t="s">
        <v>1061</v>
      </c>
      <c r="C14" s="384">
        <v>1443563.78</v>
      </c>
      <c r="D14" s="384">
        <v>367051.85</v>
      </c>
      <c r="E14" s="385">
        <v>1810615.63</v>
      </c>
      <c r="F14" s="386">
        <v>633715.47049999994</v>
      </c>
      <c r="G14" s="387">
        <f t="shared" si="0"/>
        <v>633715.47049999994</v>
      </c>
      <c r="H14" s="388" t="s">
        <v>455</v>
      </c>
      <c r="I14" s="389"/>
    </row>
    <row r="15" spans="1:9" s="375" customFormat="1" ht="13" x14ac:dyDescent="0.3">
      <c r="A15" s="382">
        <v>601563</v>
      </c>
      <c r="B15" s="383" t="s">
        <v>1060</v>
      </c>
      <c r="C15" s="384">
        <v>1518777.16</v>
      </c>
      <c r="D15" s="384">
        <v>218108.88</v>
      </c>
      <c r="E15" s="385">
        <v>1736886.04</v>
      </c>
      <c r="F15" s="386">
        <v>607910.11399999994</v>
      </c>
      <c r="G15" s="387">
        <f t="shared" si="0"/>
        <v>607910.11399999994</v>
      </c>
      <c r="H15" s="388" t="s">
        <v>455</v>
      </c>
      <c r="I15" s="389"/>
    </row>
    <row r="16" spans="1:9" s="375" customFormat="1" ht="13" x14ac:dyDescent="0.3">
      <c r="A16" s="382">
        <v>601997</v>
      </c>
      <c r="B16" s="383" t="s">
        <v>1062</v>
      </c>
      <c r="C16" s="384">
        <v>1554888.19</v>
      </c>
      <c r="D16" s="384">
        <v>159839.85</v>
      </c>
      <c r="E16" s="385">
        <v>1714728.04</v>
      </c>
      <c r="F16" s="386">
        <v>600154.81400000001</v>
      </c>
      <c r="G16" s="387">
        <f t="shared" si="0"/>
        <v>600154.81400000001</v>
      </c>
      <c r="H16" s="388" t="s">
        <v>455</v>
      </c>
      <c r="I16" s="389"/>
    </row>
    <row r="17" spans="1:9" s="375" customFormat="1" ht="13" x14ac:dyDescent="0.3">
      <c r="A17" s="382">
        <v>601725</v>
      </c>
      <c r="B17" s="383" t="s">
        <v>1100</v>
      </c>
      <c r="C17" s="384">
        <v>681184.45</v>
      </c>
      <c r="D17" s="384">
        <v>995929.77999999991</v>
      </c>
      <c r="E17" s="385">
        <v>1677114.23</v>
      </c>
      <c r="F17" s="386">
        <v>586989.98049999995</v>
      </c>
      <c r="G17" s="387">
        <f t="shared" si="0"/>
        <v>586989.98049999995</v>
      </c>
      <c r="H17" s="388" t="s">
        <v>455</v>
      </c>
      <c r="I17" s="389"/>
    </row>
    <row r="18" spans="1:9" s="375" customFormat="1" ht="13" x14ac:dyDescent="0.3">
      <c r="A18" s="382">
        <v>601747</v>
      </c>
      <c r="B18" s="383" t="s">
        <v>1069</v>
      </c>
      <c r="C18" s="384">
        <v>1046103.55</v>
      </c>
      <c r="D18" s="384">
        <v>576126.81999999995</v>
      </c>
      <c r="E18" s="385">
        <v>1622230.37</v>
      </c>
      <c r="F18" s="386">
        <v>567780.62950000004</v>
      </c>
      <c r="G18" s="387">
        <f t="shared" si="0"/>
        <v>567780.62950000004</v>
      </c>
      <c r="H18" s="388" t="s">
        <v>455</v>
      </c>
      <c r="I18" s="389"/>
    </row>
    <row r="19" spans="1:9" s="375" customFormat="1" ht="13" x14ac:dyDescent="0.3">
      <c r="A19" s="382">
        <v>601963</v>
      </c>
      <c r="B19" s="383" t="s">
        <v>1066</v>
      </c>
      <c r="C19" s="384">
        <v>1289444.47</v>
      </c>
      <c r="D19" s="384">
        <v>314469.84999999998</v>
      </c>
      <c r="E19" s="385">
        <v>1603914.3199999998</v>
      </c>
      <c r="F19" s="386">
        <v>561370.01199999987</v>
      </c>
      <c r="G19" s="387">
        <f t="shared" si="0"/>
        <v>561370.01199999987</v>
      </c>
      <c r="H19" s="388" t="s">
        <v>455</v>
      </c>
      <c r="I19" s="389"/>
    </row>
    <row r="20" spans="1:9" s="375" customFormat="1" ht="13" x14ac:dyDescent="0.3">
      <c r="A20" s="382">
        <v>601789</v>
      </c>
      <c r="B20" s="383" t="s">
        <v>1065</v>
      </c>
      <c r="C20" s="384">
        <v>1264088.48</v>
      </c>
      <c r="D20" s="384">
        <v>321269.24</v>
      </c>
      <c r="E20" s="385">
        <v>1585357.72</v>
      </c>
      <c r="F20" s="386">
        <v>554875.20199999993</v>
      </c>
      <c r="G20" s="387">
        <f t="shared" si="0"/>
        <v>554875.20199999993</v>
      </c>
      <c r="H20" s="388" t="s">
        <v>455</v>
      </c>
      <c r="I20" s="389"/>
    </row>
    <row r="21" spans="1:9" s="375" customFormat="1" ht="13" x14ac:dyDescent="0.3">
      <c r="A21" s="382">
        <v>601995</v>
      </c>
      <c r="B21" s="383" t="s">
        <v>1064</v>
      </c>
      <c r="C21" s="384">
        <v>1446579.5</v>
      </c>
      <c r="D21" s="384">
        <v>115976.54000000001</v>
      </c>
      <c r="E21" s="385">
        <v>1562556.04</v>
      </c>
      <c r="F21" s="386">
        <v>546894.61399999994</v>
      </c>
      <c r="G21" s="387">
        <f t="shared" si="0"/>
        <v>546894.61399999994</v>
      </c>
      <c r="H21" s="388" t="s">
        <v>455</v>
      </c>
      <c r="I21" s="389"/>
    </row>
    <row r="22" spans="1:9" s="375" customFormat="1" ht="13" x14ac:dyDescent="0.3">
      <c r="A22" s="382">
        <v>601645</v>
      </c>
      <c r="B22" s="383" t="s">
        <v>1063</v>
      </c>
      <c r="C22" s="384">
        <v>1395218.5999999999</v>
      </c>
      <c r="D22" s="384">
        <v>117330.5</v>
      </c>
      <c r="E22" s="385">
        <v>1512549.0999999999</v>
      </c>
      <c r="F22" s="386">
        <v>529392.18499999994</v>
      </c>
      <c r="G22" s="387">
        <f t="shared" si="0"/>
        <v>529392.18499999994</v>
      </c>
      <c r="H22" s="388" t="s">
        <v>455</v>
      </c>
      <c r="I22" s="389"/>
    </row>
    <row r="23" spans="1:9" s="375" customFormat="1" ht="13" x14ac:dyDescent="0.3">
      <c r="A23" s="382">
        <v>601613</v>
      </c>
      <c r="B23" s="383" t="s">
        <v>1067</v>
      </c>
      <c r="C23" s="384">
        <v>1294013.8499999999</v>
      </c>
      <c r="D23" s="384">
        <v>181790.53</v>
      </c>
      <c r="E23" s="385">
        <v>1475804.38</v>
      </c>
      <c r="F23" s="386">
        <v>516531.53299999994</v>
      </c>
      <c r="G23" s="387">
        <f t="shared" si="0"/>
        <v>516531.53299999994</v>
      </c>
      <c r="H23" s="388" t="s">
        <v>455</v>
      </c>
      <c r="I23" s="389"/>
    </row>
    <row r="24" spans="1:9" s="375" customFormat="1" ht="13" x14ac:dyDescent="0.3">
      <c r="A24" s="382">
        <v>601545</v>
      </c>
      <c r="B24" s="383" t="s">
        <v>1073</v>
      </c>
      <c r="C24" s="384">
        <v>1054133.6399999999</v>
      </c>
      <c r="D24" s="384">
        <v>417331.92</v>
      </c>
      <c r="E24" s="385">
        <v>1471465.5599999998</v>
      </c>
      <c r="F24" s="386">
        <v>515012.94599999988</v>
      </c>
      <c r="G24" s="387">
        <f t="shared" si="0"/>
        <v>515012.94599999988</v>
      </c>
      <c r="H24" s="388" t="s">
        <v>455</v>
      </c>
      <c r="I24" s="389"/>
    </row>
    <row r="25" spans="1:9" s="375" customFormat="1" ht="13" x14ac:dyDescent="0.3">
      <c r="A25" s="382">
        <v>601902</v>
      </c>
      <c r="B25" s="383" t="s">
        <v>1072</v>
      </c>
      <c r="C25" s="384">
        <v>1157943.82</v>
      </c>
      <c r="D25" s="384">
        <v>298623.51</v>
      </c>
      <c r="E25" s="385">
        <v>1456567.33</v>
      </c>
      <c r="F25" s="386">
        <v>509798.56549999997</v>
      </c>
      <c r="G25" s="387">
        <f t="shared" si="0"/>
        <v>509798.56549999997</v>
      </c>
      <c r="H25" s="388" t="s">
        <v>455</v>
      </c>
      <c r="I25" s="389"/>
    </row>
    <row r="26" spans="1:9" s="375" customFormat="1" ht="13" x14ac:dyDescent="0.3">
      <c r="A26" s="382">
        <v>601766</v>
      </c>
      <c r="B26" s="383" t="s">
        <v>1068</v>
      </c>
      <c r="C26" s="384">
        <v>1152662.03</v>
      </c>
      <c r="D26" s="384">
        <v>252610.88999999998</v>
      </c>
      <c r="E26" s="385">
        <v>1405272.92</v>
      </c>
      <c r="F26" s="386">
        <v>491845.52199999994</v>
      </c>
      <c r="G26" s="387">
        <f t="shared" si="0"/>
        <v>491845.52199999994</v>
      </c>
      <c r="H26" s="388" t="s">
        <v>455</v>
      </c>
      <c r="I26" s="389"/>
    </row>
    <row r="27" spans="1:9" s="375" customFormat="1" ht="13" x14ac:dyDescent="0.3">
      <c r="A27" s="382">
        <v>601608</v>
      </c>
      <c r="B27" s="383" t="s">
        <v>1074</v>
      </c>
      <c r="C27" s="384">
        <v>1083450.3899999999</v>
      </c>
      <c r="D27" s="384">
        <v>237357.61000000002</v>
      </c>
      <c r="E27" s="385">
        <v>1320808</v>
      </c>
      <c r="F27" s="386">
        <v>462282.8</v>
      </c>
      <c r="G27" s="387">
        <f t="shared" si="0"/>
        <v>462282.8</v>
      </c>
      <c r="H27" s="388" t="s">
        <v>455</v>
      </c>
      <c r="I27" s="389"/>
    </row>
    <row r="28" spans="1:9" s="375" customFormat="1" ht="13" x14ac:dyDescent="0.3">
      <c r="A28" s="382">
        <v>601970</v>
      </c>
      <c r="B28" s="383" t="s">
        <v>1070</v>
      </c>
      <c r="C28" s="384">
        <v>1140967.3400000001</v>
      </c>
      <c r="D28" s="384">
        <v>167861.67</v>
      </c>
      <c r="E28" s="385">
        <v>1308829.01</v>
      </c>
      <c r="F28" s="386">
        <v>458090.15349999996</v>
      </c>
      <c r="G28" s="387">
        <f t="shared" si="0"/>
        <v>458090.15349999996</v>
      </c>
      <c r="H28" s="388" t="s">
        <v>455</v>
      </c>
      <c r="I28" s="389"/>
    </row>
    <row r="29" spans="1:9" s="375" customFormat="1" ht="13" x14ac:dyDescent="0.3">
      <c r="A29" s="382">
        <v>601770</v>
      </c>
      <c r="B29" s="383" t="s">
        <v>1071</v>
      </c>
      <c r="C29" s="384">
        <v>1068056.48</v>
      </c>
      <c r="D29" s="384">
        <v>222311.79</v>
      </c>
      <c r="E29" s="385">
        <v>1290368.27</v>
      </c>
      <c r="F29" s="386">
        <v>451628.89449999999</v>
      </c>
      <c r="G29" s="387">
        <f t="shared" si="0"/>
        <v>451628.89449999999</v>
      </c>
      <c r="H29" s="388" t="s">
        <v>455</v>
      </c>
      <c r="I29" s="389"/>
    </row>
    <row r="30" spans="1:9" s="375" customFormat="1" ht="13" x14ac:dyDescent="0.3">
      <c r="A30" s="382">
        <v>601610</v>
      </c>
      <c r="B30" s="383" t="s">
        <v>1076</v>
      </c>
      <c r="C30" s="384">
        <v>1136496.26</v>
      </c>
      <c r="D30" s="384">
        <v>78463.22</v>
      </c>
      <c r="E30" s="385">
        <v>1214959.48</v>
      </c>
      <c r="F30" s="386">
        <v>425235.81799999997</v>
      </c>
      <c r="G30" s="387">
        <f t="shared" si="0"/>
        <v>425235.81799999997</v>
      </c>
      <c r="H30" s="388" t="s">
        <v>455</v>
      </c>
      <c r="I30" s="389"/>
    </row>
    <row r="31" spans="1:9" s="375" customFormat="1" ht="13" x14ac:dyDescent="0.3">
      <c r="A31" s="382">
        <v>601554</v>
      </c>
      <c r="B31" s="383" t="s">
        <v>1075</v>
      </c>
      <c r="C31" s="384">
        <v>1083291.8699999999</v>
      </c>
      <c r="D31" s="384">
        <v>113987.63</v>
      </c>
      <c r="E31" s="385">
        <v>1197279.5</v>
      </c>
      <c r="F31" s="386">
        <v>419047.82499999995</v>
      </c>
      <c r="G31" s="387">
        <f t="shared" si="0"/>
        <v>419047.82499999995</v>
      </c>
      <c r="H31" s="388" t="s">
        <v>455</v>
      </c>
      <c r="I31" s="389"/>
    </row>
    <row r="32" spans="1:9" s="375" customFormat="1" ht="13" x14ac:dyDescent="0.3">
      <c r="A32" s="382">
        <v>601724</v>
      </c>
      <c r="B32" s="383" t="s">
        <v>1080</v>
      </c>
      <c r="C32" s="384">
        <v>767898.67</v>
      </c>
      <c r="D32" s="384">
        <v>322461.15000000002</v>
      </c>
      <c r="E32" s="385">
        <v>1090359.82</v>
      </c>
      <c r="F32" s="386">
        <v>381625.93699999998</v>
      </c>
      <c r="G32" s="387">
        <f t="shared" si="0"/>
        <v>381625.93699999998</v>
      </c>
      <c r="H32" s="388" t="s">
        <v>455</v>
      </c>
      <c r="I32" s="389"/>
    </row>
    <row r="33" spans="1:9" s="375" customFormat="1" ht="13" x14ac:dyDescent="0.3">
      <c r="A33" s="382">
        <v>601820</v>
      </c>
      <c r="B33" s="383" t="s">
        <v>1079</v>
      </c>
      <c r="C33" s="384">
        <v>924226.65</v>
      </c>
      <c r="D33" s="384">
        <v>118856.14</v>
      </c>
      <c r="E33" s="385">
        <v>1043082.79</v>
      </c>
      <c r="F33" s="386">
        <v>365078.97649999999</v>
      </c>
      <c r="G33" s="387">
        <f t="shared" si="0"/>
        <v>365078.97649999999</v>
      </c>
      <c r="H33" s="388" t="s">
        <v>455</v>
      </c>
      <c r="I33" s="389"/>
    </row>
    <row r="34" spans="1:9" s="375" customFormat="1" ht="13" x14ac:dyDescent="0.3">
      <c r="A34" s="382">
        <v>601797</v>
      </c>
      <c r="B34" s="383" t="s">
        <v>1083</v>
      </c>
      <c r="C34" s="384">
        <v>813337.19</v>
      </c>
      <c r="D34" s="384">
        <v>222412.93000000002</v>
      </c>
      <c r="E34" s="385">
        <v>1035750.12</v>
      </c>
      <c r="F34" s="386">
        <v>362512.54199999996</v>
      </c>
      <c r="G34" s="387">
        <f t="shared" si="0"/>
        <v>362512.54199999996</v>
      </c>
      <c r="H34" s="388" t="s">
        <v>455</v>
      </c>
      <c r="I34" s="389"/>
    </row>
    <row r="35" spans="1:9" s="375" customFormat="1" ht="13" x14ac:dyDescent="0.3">
      <c r="A35" s="382">
        <v>601944</v>
      </c>
      <c r="B35" s="383" t="s">
        <v>1078</v>
      </c>
      <c r="C35" s="384">
        <v>909943.16</v>
      </c>
      <c r="D35" s="384">
        <v>105720.84000000001</v>
      </c>
      <c r="E35" s="385">
        <v>1015664</v>
      </c>
      <c r="F35" s="386">
        <v>355482.39999999997</v>
      </c>
      <c r="G35" s="387">
        <f t="shared" si="0"/>
        <v>355482.39999999997</v>
      </c>
      <c r="H35" s="388" t="s">
        <v>455</v>
      </c>
      <c r="I35" s="389"/>
    </row>
    <row r="36" spans="1:9" s="375" customFormat="1" ht="13" x14ac:dyDescent="0.3">
      <c r="A36" s="382">
        <v>601707</v>
      </c>
      <c r="B36" s="383" t="s">
        <v>1097</v>
      </c>
      <c r="C36" s="384">
        <v>701860.39</v>
      </c>
      <c r="D36" s="384">
        <v>265071.21999999997</v>
      </c>
      <c r="E36" s="385">
        <v>966931.61</v>
      </c>
      <c r="F36" s="386">
        <v>338426.06349999999</v>
      </c>
      <c r="G36" s="387">
        <f t="shared" si="0"/>
        <v>338426.06349999999</v>
      </c>
      <c r="H36" s="388" t="s">
        <v>455</v>
      </c>
      <c r="I36" s="389"/>
    </row>
    <row r="37" spans="1:9" s="375" customFormat="1" ht="13" x14ac:dyDescent="0.3">
      <c r="A37" s="382">
        <v>601599</v>
      </c>
      <c r="B37" s="383" t="s">
        <v>1077</v>
      </c>
      <c r="C37" s="384">
        <v>811197.05</v>
      </c>
      <c r="D37" s="384">
        <v>150048.66999999998</v>
      </c>
      <c r="E37" s="385">
        <v>961245.72</v>
      </c>
      <c r="F37" s="386">
        <v>336436.00199999998</v>
      </c>
      <c r="G37" s="387">
        <f t="shared" si="0"/>
        <v>336436.00199999998</v>
      </c>
      <c r="H37" s="388" t="s">
        <v>455</v>
      </c>
      <c r="I37" s="389"/>
    </row>
    <row r="38" spans="1:9" s="375" customFormat="1" ht="13" x14ac:dyDescent="0.3">
      <c r="A38" s="382">
        <v>601801</v>
      </c>
      <c r="B38" s="383" t="s">
        <v>1081</v>
      </c>
      <c r="C38" s="384">
        <v>802910.94</v>
      </c>
      <c r="D38" s="384">
        <v>149727.59</v>
      </c>
      <c r="E38" s="385">
        <v>952638.52999999991</v>
      </c>
      <c r="F38" s="386">
        <v>333423.48549999995</v>
      </c>
      <c r="G38" s="387">
        <f t="shared" si="0"/>
        <v>333423.48549999995</v>
      </c>
      <c r="H38" s="388" t="s">
        <v>455</v>
      </c>
      <c r="I38" s="389"/>
    </row>
    <row r="39" spans="1:9" s="375" customFormat="1" ht="13" x14ac:dyDescent="0.3">
      <c r="A39" s="382">
        <v>601523</v>
      </c>
      <c r="B39" s="383" t="s">
        <v>1085</v>
      </c>
      <c r="C39" s="384">
        <v>658814.92999999993</v>
      </c>
      <c r="D39" s="384">
        <v>291255.35000000003</v>
      </c>
      <c r="E39" s="385">
        <v>950070.28</v>
      </c>
      <c r="F39" s="386">
        <v>332524.598</v>
      </c>
      <c r="G39" s="387">
        <f t="shared" si="0"/>
        <v>332524.598</v>
      </c>
      <c r="H39" s="388" t="s">
        <v>455</v>
      </c>
      <c r="I39" s="389"/>
    </row>
    <row r="40" spans="1:9" s="375" customFormat="1" ht="13" x14ac:dyDescent="0.3">
      <c r="A40" s="382">
        <v>601663</v>
      </c>
      <c r="B40" s="383" t="s">
        <v>1082</v>
      </c>
      <c r="C40" s="384">
        <v>763142.61</v>
      </c>
      <c r="D40" s="384">
        <v>158903.18</v>
      </c>
      <c r="E40" s="385">
        <v>922045.79</v>
      </c>
      <c r="F40" s="386">
        <v>322716.02649999998</v>
      </c>
      <c r="G40" s="387">
        <f t="shared" si="0"/>
        <v>322716.02649999998</v>
      </c>
      <c r="H40" s="388" t="s">
        <v>455</v>
      </c>
      <c r="I40" s="389"/>
    </row>
    <row r="41" spans="1:9" s="375" customFormat="1" ht="13" x14ac:dyDescent="0.3">
      <c r="A41" s="382">
        <v>601785</v>
      </c>
      <c r="B41" s="383" t="s">
        <v>1091</v>
      </c>
      <c r="C41" s="384">
        <v>725666</v>
      </c>
      <c r="D41" s="384">
        <v>166909.5</v>
      </c>
      <c r="E41" s="385">
        <v>892575.5</v>
      </c>
      <c r="F41" s="386">
        <v>312401.42499999999</v>
      </c>
      <c r="G41" s="387">
        <f t="shared" si="0"/>
        <v>312401.42499999999</v>
      </c>
      <c r="H41" s="388" t="s">
        <v>455</v>
      </c>
      <c r="I41" s="389"/>
    </row>
    <row r="42" spans="1:9" s="375" customFormat="1" ht="13" x14ac:dyDescent="0.3">
      <c r="A42" s="382">
        <v>601864</v>
      </c>
      <c r="B42" s="383" t="s">
        <v>1092</v>
      </c>
      <c r="C42" s="384">
        <v>742792.27</v>
      </c>
      <c r="D42" s="384">
        <v>134221.96</v>
      </c>
      <c r="E42" s="385">
        <v>877014.23</v>
      </c>
      <c r="F42" s="386">
        <v>306954.98049999995</v>
      </c>
      <c r="G42" s="387">
        <f t="shared" si="0"/>
        <v>306954.98049999995</v>
      </c>
      <c r="H42" s="388" t="s">
        <v>455</v>
      </c>
      <c r="I42" s="389"/>
    </row>
    <row r="43" spans="1:9" s="375" customFormat="1" ht="13" x14ac:dyDescent="0.3">
      <c r="A43" s="382">
        <v>601603</v>
      </c>
      <c r="B43" s="383" t="s">
        <v>1089</v>
      </c>
      <c r="C43" s="384">
        <v>764947.2</v>
      </c>
      <c r="D43" s="384">
        <v>86904.28</v>
      </c>
      <c r="E43" s="385">
        <v>851851.48</v>
      </c>
      <c r="F43" s="386">
        <v>298148.01799999998</v>
      </c>
      <c r="G43" s="387">
        <f t="shared" si="0"/>
        <v>298148.01799999998</v>
      </c>
      <c r="H43" s="388" t="s">
        <v>455</v>
      </c>
      <c r="I43" s="389"/>
    </row>
    <row r="44" spans="1:9" s="375" customFormat="1" ht="13" x14ac:dyDescent="0.3">
      <c r="A44" s="382">
        <v>601672</v>
      </c>
      <c r="B44" s="383" t="s">
        <v>1088</v>
      </c>
      <c r="C44" s="384">
        <v>735455.66</v>
      </c>
      <c r="D44" s="384">
        <v>113657.35</v>
      </c>
      <c r="E44" s="385">
        <v>849113.01</v>
      </c>
      <c r="F44" s="386">
        <v>297189.55349999998</v>
      </c>
      <c r="G44" s="387">
        <f t="shared" si="0"/>
        <v>297189.55349999998</v>
      </c>
      <c r="H44" s="388" t="s">
        <v>455</v>
      </c>
      <c r="I44" s="389"/>
    </row>
    <row r="45" spans="1:9" s="375" customFormat="1" ht="13" x14ac:dyDescent="0.3">
      <c r="A45" s="382">
        <v>601973</v>
      </c>
      <c r="B45" s="383" t="s">
        <v>1090</v>
      </c>
      <c r="C45" s="384">
        <v>750756.94</v>
      </c>
      <c r="D45" s="384">
        <v>89667.709999999992</v>
      </c>
      <c r="E45" s="385">
        <v>840424.64999999991</v>
      </c>
      <c r="F45" s="386">
        <v>294148.62749999994</v>
      </c>
      <c r="G45" s="387">
        <f t="shared" si="0"/>
        <v>294148.62749999994</v>
      </c>
      <c r="H45" s="388" t="s">
        <v>455</v>
      </c>
      <c r="I45" s="389"/>
    </row>
    <row r="46" spans="1:9" s="375" customFormat="1" ht="13" x14ac:dyDescent="0.3">
      <c r="A46" s="382">
        <v>601932</v>
      </c>
      <c r="B46" s="383" t="s">
        <v>1086</v>
      </c>
      <c r="C46" s="384">
        <v>718964.95</v>
      </c>
      <c r="D46" s="384">
        <v>112611.08</v>
      </c>
      <c r="E46" s="385">
        <v>831576.02999999991</v>
      </c>
      <c r="F46" s="386">
        <v>291051.61049999995</v>
      </c>
      <c r="G46" s="387">
        <f t="shared" si="0"/>
        <v>291051.61049999995</v>
      </c>
      <c r="H46" s="388" t="s">
        <v>455</v>
      </c>
      <c r="I46" s="389"/>
    </row>
    <row r="47" spans="1:9" s="375" customFormat="1" ht="13" x14ac:dyDescent="0.3">
      <c r="A47" s="382">
        <v>601840</v>
      </c>
      <c r="B47" s="383" t="s">
        <v>1087</v>
      </c>
      <c r="C47" s="384">
        <v>728537.92</v>
      </c>
      <c r="D47" s="384">
        <v>88369.959999999992</v>
      </c>
      <c r="E47" s="385">
        <v>816907.88</v>
      </c>
      <c r="F47" s="386">
        <v>285917.75799999997</v>
      </c>
      <c r="G47" s="387">
        <f t="shared" si="0"/>
        <v>285917.75799999997</v>
      </c>
      <c r="H47" s="388" t="s">
        <v>455</v>
      </c>
      <c r="I47" s="389"/>
    </row>
    <row r="48" spans="1:9" s="375" customFormat="1" ht="13" x14ac:dyDescent="0.3">
      <c r="A48" s="382">
        <v>601623</v>
      </c>
      <c r="B48" s="383" t="s">
        <v>1096</v>
      </c>
      <c r="C48" s="384">
        <v>690586.94</v>
      </c>
      <c r="D48" s="384">
        <v>100450.78</v>
      </c>
      <c r="E48" s="385">
        <v>791037.72</v>
      </c>
      <c r="F48" s="386">
        <v>276863.20199999999</v>
      </c>
      <c r="G48" s="387">
        <f t="shared" si="0"/>
        <v>276863.20199999999</v>
      </c>
      <c r="H48" s="388" t="s">
        <v>455</v>
      </c>
      <c r="I48" s="389"/>
    </row>
    <row r="49" spans="1:9" s="375" customFormat="1" ht="13" x14ac:dyDescent="0.3">
      <c r="A49" s="382">
        <v>601940</v>
      </c>
      <c r="B49" s="383" t="s">
        <v>1094</v>
      </c>
      <c r="C49" s="384">
        <v>674235.30999999994</v>
      </c>
      <c r="D49" s="384">
        <v>114650.04000000001</v>
      </c>
      <c r="E49" s="385">
        <v>788885.35</v>
      </c>
      <c r="F49" s="386">
        <v>276109.8725</v>
      </c>
      <c r="G49" s="387">
        <f t="shared" si="0"/>
        <v>276109.8725</v>
      </c>
      <c r="H49" s="388" t="s">
        <v>455</v>
      </c>
      <c r="I49" s="389"/>
    </row>
    <row r="50" spans="1:9" s="375" customFormat="1" ht="13" x14ac:dyDescent="0.3">
      <c r="A50" s="382">
        <v>601992</v>
      </c>
      <c r="B50" s="383" t="s">
        <v>1084</v>
      </c>
      <c r="C50" s="384">
        <v>670748.64</v>
      </c>
      <c r="D50" s="384">
        <v>117712.53</v>
      </c>
      <c r="E50" s="385">
        <v>788461.17</v>
      </c>
      <c r="F50" s="386">
        <v>275961.40950000001</v>
      </c>
      <c r="G50" s="387">
        <f t="shared" si="0"/>
        <v>275961.40950000001</v>
      </c>
      <c r="H50" s="388" t="s">
        <v>455</v>
      </c>
      <c r="I50" s="389"/>
    </row>
    <row r="51" spans="1:9" s="375" customFormat="1" ht="13" x14ac:dyDescent="0.3">
      <c r="A51" s="382">
        <v>601544</v>
      </c>
      <c r="B51" s="383" t="s">
        <v>1105</v>
      </c>
      <c r="C51" s="384">
        <v>574892.65</v>
      </c>
      <c r="D51" s="384">
        <v>208501.88</v>
      </c>
      <c r="E51" s="385">
        <v>783394.53</v>
      </c>
      <c r="F51" s="386">
        <v>274188.08549999999</v>
      </c>
      <c r="G51" s="387">
        <f t="shared" si="0"/>
        <v>274188.08549999999</v>
      </c>
      <c r="H51" s="388" t="s">
        <v>455</v>
      </c>
      <c r="I51" s="389"/>
    </row>
    <row r="52" spans="1:9" s="375" customFormat="1" ht="13" x14ac:dyDescent="0.3">
      <c r="A52" s="382">
        <v>601787</v>
      </c>
      <c r="B52" s="383" t="s">
        <v>1137</v>
      </c>
      <c r="C52" s="384">
        <v>408392.25</v>
      </c>
      <c r="D52" s="384">
        <v>361892.44</v>
      </c>
      <c r="E52" s="385">
        <v>770284.69</v>
      </c>
      <c r="F52" s="386">
        <v>269599.64149999997</v>
      </c>
      <c r="G52" s="387">
        <f t="shared" si="0"/>
        <v>269599.64149999997</v>
      </c>
      <c r="H52" s="388" t="s">
        <v>455</v>
      </c>
      <c r="I52" s="389"/>
    </row>
    <row r="53" spans="1:9" s="375" customFormat="1" ht="13" x14ac:dyDescent="0.3">
      <c r="A53" s="382">
        <v>601632</v>
      </c>
      <c r="B53" s="383" t="s">
        <v>1095</v>
      </c>
      <c r="C53" s="384">
        <v>684404.25</v>
      </c>
      <c r="D53" s="384">
        <v>80656.099999999991</v>
      </c>
      <c r="E53" s="385">
        <v>765060.35</v>
      </c>
      <c r="F53" s="386">
        <v>267771.1225</v>
      </c>
      <c r="G53" s="387">
        <f t="shared" si="0"/>
        <v>267771.1225</v>
      </c>
      <c r="H53" s="388" t="s">
        <v>455</v>
      </c>
      <c r="I53" s="389"/>
    </row>
    <row r="54" spans="1:9" s="375" customFormat="1" ht="13" x14ac:dyDescent="0.3">
      <c r="A54" s="382">
        <v>601508</v>
      </c>
      <c r="B54" s="383" t="s">
        <v>1102</v>
      </c>
      <c r="C54" s="384">
        <v>593443.57999999996</v>
      </c>
      <c r="D54" s="384">
        <v>165456.41</v>
      </c>
      <c r="E54" s="385">
        <v>758899.99</v>
      </c>
      <c r="F54" s="386">
        <v>265614.99650000001</v>
      </c>
      <c r="G54" s="387">
        <f t="shared" si="0"/>
        <v>265614.99650000001</v>
      </c>
      <c r="H54" s="388" t="s">
        <v>455</v>
      </c>
      <c r="I54" s="389"/>
    </row>
    <row r="55" spans="1:9" s="375" customFormat="1" ht="13" x14ac:dyDescent="0.3">
      <c r="A55" s="382">
        <v>601543</v>
      </c>
      <c r="B55" s="383" t="s">
        <v>1101</v>
      </c>
      <c r="C55" s="384">
        <v>588789.27</v>
      </c>
      <c r="D55" s="384">
        <v>169873.83000000002</v>
      </c>
      <c r="E55" s="385">
        <v>758663.10000000009</v>
      </c>
      <c r="F55" s="386">
        <v>265532.08500000002</v>
      </c>
      <c r="G55" s="387">
        <f t="shared" si="0"/>
        <v>265532.08500000002</v>
      </c>
      <c r="H55" s="388" t="s">
        <v>455</v>
      </c>
      <c r="I55" s="389"/>
    </row>
    <row r="56" spans="1:9" s="375" customFormat="1" ht="13" x14ac:dyDescent="0.3">
      <c r="A56" s="382">
        <v>601669</v>
      </c>
      <c r="B56" s="383" t="s">
        <v>1093</v>
      </c>
      <c r="C56" s="384">
        <v>627948.28</v>
      </c>
      <c r="D56" s="384">
        <v>123765.54</v>
      </c>
      <c r="E56" s="385">
        <v>751713.82000000007</v>
      </c>
      <c r="F56" s="386">
        <v>263099.837</v>
      </c>
      <c r="G56" s="387">
        <f t="shared" si="0"/>
        <v>263099.837</v>
      </c>
      <c r="H56" s="388" t="s">
        <v>455</v>
      </c>
      <c r="I56" s="389"/>
    </row>
    <row r="57" spans="1:9" s="375" customFormat="1" ht="13" x14ac:dyDescent="0.3">
      <c r="A57" s="382">
        <v>601715</v>
      </c>
      <c r="B57" s="383" t="s">
        <v>1119</v>
      </c>
      <c r="C57" s="384">
        <v>526180.91</v>
      </c>
      <c r="D57" s="384">
        <v>209294.34999999998</v>
      </c>
      <c r="E57" s="385">
        <v>735475.26</v>
      </c>
      <c r="F57" s="386">
        <v>257416.34099999999</v>
      </c>
      <c r="G57" s="387">
        <f t="shared" si="0"/>
        <v>257416.34099999999</v>
      </c>
      <c r="H57" s="388" t="s">
        <v>455</v>
      </c>
      <c r="I57" s="389"/>
    </row>
    <row r="58" spans="1:9" s="375" customFormat="1" ht="13" x14ac:dyDescent="0.3">
      <c r="A58" s="382">
        <v>601871</v>
      </c>
      <c r="B58" s="383" t="s">
        <v>1099</v>
      </c>
      <c r="C58" s="384">
        <v>581561.54</v>
      </c>
      <c r="D58" s="384">
        <v>139834.51</v>
      </c>
      <c r="E58" s="385">
        <v>721396.05</v>
      </c>
      <c r="F58" s="386">
        <v>252488.61749999999</v>
      </c>
      <c r="G58" s="387">
        <f t="shared" si="0"/>
        <v>252488.61749999999</v>
      </c>
      <c r="H58" s="388" t="s">
        <v>455</v>
      </c>
      <c r="I58" s="389"/>
    </row>
    <row r="59" spans="1:9" s="375" customFormat="1" ht="13" x14ac:dyDescent="0.3">
      <c r="A59" s="382">
        <v>601666</v>
      </c>
      <c r="B59" s="383" t="s">
        <v>1104</v>
      </c>
      <c r="C59" s="384">
        <v>552720.57999999996</v>
      </c>
      <c r="D59" s="384">
        <v>166571.82999999999</v>
      </c>
      <c r="E59" s="385">
        <v>719292.40999999992</v>
      </c>
      <c r="F59" s="386">
        <v>251752.34349999996</v>
      </c>
      <c r="G59" s="387">
        <f t="shared" si="0"/>
        <v>251752.34349999996</v>
      </c>
      <c r="H59" s="388" t="s">
        <v>455</v>
      </c>
      <c r="I59" s="389"/>
    </row>
    <row r="60" spans="1:9" s="375" customFormat="1" ht="13" x14ac:dyDescent="0.3">
      <c r="A60" s="382">
        <v>601748</v>
      </c>
      <c r="B60" s="383" t="s">
        <v>1121</v>
      </c>
      <c r="C60" s="384">
        <v>367485.66</v>
      </c>
      <c r="D60" s="384">
        <v>338379.1</v>
      </c>
      <c r="E60" s="385">
        <v>705864.76</v>
      </c>
      <c r="F60" s="386">
        <v>247052.666</v>
      </c>
      <c r="G60" s="387">
        <f t="shared" si="0"/>
        <v>247052.666</v>
      </c>
      <c r="H60" s="388" t="s">
        <v>455</v>
      </c>
      <c r="I60" s="389"/>
    </row>
    <row r="61" spans="1:9" s="375" customFormat="1" ht="13" x14ac:dyDescent="0.3">
      <c r="A61" s="382">
        <v>601646</v>
      </c>
      <c r="B61" s="383" t="s">
        <v>1103</v>
      </c>
      <c r="C61" s="384">
        <v>587098.49</v>
      </c>
      <c r="D61" s="384">
        <v>108976.28</v>
      </c>
      <c r="E61" s="385">
        <v>696074.77</v>
      </c>
      <c r="F61" s="386">
        <v>243626.16949999999</v>
      </c>
      <c r="G61" s="387">
        <f t="shared" si="0"/>
        <v>243626.16949999999</v>
      </c>
      <c r="H61" s="388" t="s">
        <v>455</v>
      </c>
      <c r="I61" s="389"/>
    </row>
    <row r="62" spans="1:9" s="375" customFormat="1" ht="13" x14ac:dyDescent="0.3">
      <c r="A62" s="382">
        <v>601560</v>
      </c>
      <c r="B62" s="383" t="s">
        <v>1106</v>
      </c>
      <c r="C62" s="384">
        <v>590513.94999999995</v>
      </c>
      <c r="D62" s="384">
        <v>92856.37</v>
      </c>
      <c r="E62" s="385">
        <v>683370.32</v>
      </c>
      <c r="F62" s="386">
        <v>239179.61199999996</v>
      </c>
      <c r="G62" s="387">
        <f t="shared" si="0"/>
        <v>239179.61199999996</v>
      </c>
      <c r="H62" s="388" t="s">
        <v>455</v>
      </c>
      <c r="I62" s="389"/>
    </row>
    <row r="63" spans="1:9" s="375" customFormat="1" ht="13" x14ac:dyDescent="0.3">
      <c r="A63" s="382">
        <v>601860</v>
      </c>
      <c r="B63" s="383" t="s">
        <v>1107</v>
      </c>
      <c r="C63" s="384">
        <v>557924.99</v>
      </c>
      <c r="D63" s="384">
        <v>120892.31</v>
      </c>
      <c r="E63" s="385">
        <v>678817.3</v>
      </c>
      <c r="F63" s="386">
        <v>237586.05499999999</v>
      </c>
      <c r="G63" s="387">
        <f t="shared" si="0"/>
        <v>237586.05499999999</v>
      </c>
      <c r="H63" s="388" t="s">
        <v>455</v>
      </c>
      <c r="I63" s="389"/>
    </row>
    <row r="64" spans="1:9" s="375" customFormat="1" ht="13" x14ac:dyDescent="0.3">
      <c r="A64" s="382">
        <v>601566</v>
      </c>
      <c r="B64" s="383" t="s">
        <v>1116</v>
      </c>
      <c r="C64" s="384">
        <v>467001.59999999998</v>
      </c>
      <c r="D64" s="384">
        <v>198603.21</v>
      </c>
      <c r="E64" s="385">
        <v>665604.80999999994</v>
      </c>
      <c r="F64" s="386">
        <v>232961.68349999996</v>
      </c>
      <c r="G64" s="387">
        <f t="shared" si="0"/>
        <v>232961.68349999996</v>
      </c>
      <c r="H64" s="388" t="s">
        <v>455</v>
      </c>
      <c r="I64" s="389"/>
    </row>
    <row r="65" spans="1:9" s="375" customFormat="1" ht="13" x14ac:dyDescent="0.3">
      <c r="A65" s="382">
        <v>601639</v>
      </c>
      <c r="B65" s="383" t="s">
        <v>1110</v>
      </c>
      <c r="C65" s="384">
        <v>554160.57999999996</v>
      </c>
      <c r="D65" s="384">
        <v>108153.51999999999</v>
      </c>
      <c r="E65" s="385">
        <v>662314.1</v>
      </c>
      <c r="F65" s="386">
        <v>231809.93499999997</v>
      </c>
      <c r="G65" s="387">
        <f t="shared" si="0"/>
        <v>231809.93499999997</v>
      </c>
      <c r="H65" s="388" t="s">
        <v>455</v>
      </c>
      <c r="I65" s="389"/>
    </row>
    <row r="66" spans="1:9" s="375" customFormat="1" ht="13" x14ac:dyDescent="0.3">
      <c r="A66" s="382">
        <v>601773</v>
      </c>
      <c r="B66" s="383" t="s">
        <v>1113</v>
      </c>
      <c r="C66" s="384">
        <v>465959.06</v>
      </c>
      <c r="D66" s="384">
        <v>194005.63</v>
      </c>
      <c r="E66" s="385">
        <v>659964.68999999994</v>
      </c>
      <c r="F66" s="386">
        <v>230987.64149999997</v>
      </c>
      <c r="G66" s="387">
        <f t="shared" si="0"/>
        <v>230987.64149999997</v>
      </c>
      <c r="H66" s="388" t="s">
        <v>455</v>
      </c>
      <c r="I66" s="389"/>
    </row>
    <row r="67" spans="1:9" s="375" customFormat="1" ht="13" x14ac:dyDescent="0.3">
      <c r="A67" s="382">
        <v>601755</v>
      </c>
      <c r="B67" s="383" t="s">
        <v>1112</v>
      </c>
      <c r="C67" s="384">
        <v>542280.92999999993</v>
      </c>
      <c r="D67" s="384">
        <v>100078.62000000001</v>
      </c>
      <c r="E67" s="385">
        <v>642359.54999999993</v>
      </c>
      <c r="F67" s="386">
        <v>224825.84249999997</v>
      </c>
      <c r="G67" s="387">
        <f t="shared" si="0"/>
        <v>224825.84249999997</v>
      </c>
      <c r="H67" s="388" t="s">
        <v>455</v>
      </c>
      <c r="I67" s="389"/>
    </row>
    <row r="68" spans="1:9" s="375" customFormat="1" ht="13" x14ac:dyDescent="0.3">
      <c r="A68" s="382">
        <v>601588</v>
      </c>
      <c r="B68" s="383" t="s">
        <v>1114</v>
      </c>
      <c r="C68" s="384">
        <v>510733.35</v>
      </c>
      <c r="D68" s="384">
        <v>127356.53</v>
      </c>
      <c r="E68" s="385">
        <v>638089.88</v>
      </c>
      <c r="F68" s="386">
        <v>223331.45799999998</v>
      </c>
      <c r="G68" s="387">
        <f t="shared" si="0"/>
        <v>223331.45799999998</v>
      </c>
      <c r="H68" s="388" t="s">
        <v>455</v>
      </c>
      <c r="I68" s="389"/>
    </row>
    <row r="69" spans="1:9" s="375" customFormat="1" ht="13" x14ac:dyDescent="0.3">
      <c r="A69" s="382">
        <v>601687</v>
      </c>
      <c r="B69" s="383" t="s">
        <v>1109</v>
      </c>
      <c r="C69" s="384">
        <v>534011.05000000005</v>
      </c>
      <c r="D69" s="384">
        <v>100575.23999999999</v>
      </c>
      <c r="E69" s="385">
        <v>634586.29</v>
      </c>
      <c r="F69" s="386">
        <v>222105.2015</v>
      </c>
      <c r="G69" s="387">
        <f t="shared" si="0"/>
        <v>222105.2015</v>
      </c>
      <c r="H69" s="388" t="s">
        <v>455</v>
      </c>
      <c r="I69" s="389"/>
    </row>
    <row r="70" spans="1:9" s="375" customFormat="1" ht="13" x14ac:dyDescent="0.3">
      <c r="A70" s="382">
        <v>601555</v>
      </c>
      <c r="B70" s="383" t="s">
        <v>1122</v>
      </c>
      <c r="C70" s="384">
        <v>504848.66</v>
      </c>
      <c r="D70" s="384">
        <v>106655.31</v>
      </c>
      <c r="E70" s="385">
        <v>611503.97</v>
      </c>
      <c r="F70" s="386">
        <v>214026.38949999999</v>
      </c>
      <c r="G70" s="387">
        <f t="shared" si="0"/>
        <v>214026.38949999999</v>
      </c>
      <c r="H70" s="388" t="s">
        <v>455</v>
      </c>
      <c r="I70" s="389"/>
    </row>
    <row r="71" spans="1:9" s="375" customFormat="1" ht="13" x14ac:dyDescent="0.3">
      <c r="A71" s="382">
        <v>601679</v>
      </c>
      <c r="B71" s="383" t="s">
        <v>1111</v>
      </c>
      <c r="C71" s="384">
        <v>534469.57999999996</v>
      </c>
      <c r="D71" s="384">
        <v>74702.070000000007</v>
      </c>
      <c r="E71" s="385">
        <v>609171.64999999991</v>
      </c>
      <c r="F71" s="386">
        <v>213210.07749999996</v>
      </c>
      <c r="G71" s="387">
        <f t="shared" si="0"/>
        <v>213210.07749999996</v>
      </c>
      <c r="H71" s="388" t="s">
        <v>455</v>
      </c>
      <c r="I71" s="389"/>
    </row>
    <row r="72" spans="1:9" s="375" customFormat="1" ht="13" x14ac:dyDescent="0.3">
      <c r="A72" s="382">
        <v>601717</v>
      </c>
      <c r="B72" s="383" t="s">
        <v>1098</v>
      </c>
      <c r="C72" s="384">
        <v>451260.71</v>
      </c>
      <c r="D72" s="384">
        <v>156684.29999999999</v>
      </c>
      <c r="E72" s="385">
        <v>607945.01</v>
      </c>
      <c r="F72" s="386">
        <v>212780.75349999999</v>
      </c>
      <c r="G72" s="387">
        <f t="shared" si="0"/>
        <v>212780.75349999999</v>
      </c>
      <c r="H72" s="388" t="s">
        <v>455</v>
      </c>
      <c r="I72" s="389"/>
    </row>
    <row r="73" spans="1:9" s="375" customFormat="1" ht="13" x14ac:dyDescent="0.3">
      <c r="A73" s="382">
        <v>601877</v>
      </c>
      <c r="B73" s="383" t="s">
        <v>1139</v>
      </c>
      <c r="C73" s="384">
        <v>427147.14</v>
      </c>
      <c r="D73" s="384">
        <v>177842.81</v>
      </c>
      <c r="E73" s="385">
        <v>604989.94999999995</v>
      </c>
      <c r="F73" s="386">
        <v>211746.48249999998</v>
      </c>
      <c r="G73" s="387">
        <f t="shared" si="0"/>
        <v>211746.48249999998</v>
      </c>
      <c r="H73" s="388" t="s">
        <v>455</v>
      </c>
      <c r="I73" s="389"/>
    </row>
    <row r="74" spans="1:9" s="375" customFormat="1" ht="13" x14ac:dyDescent="0.3">
      <c r="A74" s="382">
        <v>601882</v>
      </c>
      <c r="B74" s="383" t="s">
        <v>1123</v>
      </c>
      <c r="C74" s="384">
        <v>469172.81</v>
      </c>
      <c r="D74" s="384">
        <v>131736.51999999999</v>
      </c>
      <c r="E74" s="385">
        <v>600909.32999999996</v>
      </c>
      <c r="F74" s="386">
        <v>210318.26549999998</v>
      </c>
      <c r="G74" s="387">
        <f t="shared" si="0"/>
        <v>210318.26549999998</v>
      </c>
      <c r="H74" s="388" t="s">
        <v>455</v>
      </c>
      <c r="I74" s="389"/>
    </row>
    <row r="75" spans="1:9" s="375" customFormat="1" ht="13" x14ac:dyDescent="0.3">
      <c r="A75" s="382">
        <v>601876</v>
      </c>
      <c r="B75" s="383" t="s">
        <v>1115</v>
      </c>
      <c r="C75" s="384">
        <v>544540.19999999995</v>
      </c>
      <c r="D75" s="384">
        <v>46015.89</v>
      </c>
      <c r="E75" s="385">
        <v>590556.09</v>
      </c>
      <c r="F75" s="386">
        <v>206694.63149999999</v>
      </c>
      <c r="G75" s="387">
        <f t="shared" si="0"/>
        <v>206694.63149999999</v>
      </c>
      <c r="H75" s="388" t="s">
        <v>455</v>
      </c>
      <c r="I75" s="389"/>
    </row>
    <row r="76" spans="1:9" s="375" customFormat="1" ht="13" x14ac:dyDescent="0.3">
      <c r="A76" s="382">
        <v>601743</v>
      </c>
      <c r="B76" s="383" t="s">
        <v>1120</v>
      </c>
      <c r="C76" s="384">
        <v>462890.75</v>
      </c>
      <c r="D76" s="384">
        <v>123743.7</v>
      </c>
      <c r="E76" s="385">
        <v>586634.44999999995</v>
      </c>
      <c r="F76" s="386">
        <v>205322.05749999997</v>
      </c>
      <c r="G76" s="387">
        <f t="shared" si="0"/>
        <v>205322.05749999997</v>
      </c>
      <c r="H76" s="388" t="s">
        <v>455</v>
      </c>
      <c r="I76" s="389"/>
    </row>
    <row r="77" spans="1:9" s="375" customFormat="1" ht="13" x14ac:dyDescent="0.3">
      <c r="A77" s="382">
        <v>601701</v>
      </c>
      <c r="B77" s="383" t="s">
        <v>1127</v>
      </c>
      <c r="C77" s="384">
        <v>409699.41</v>
      </c>
      <c r="D77" s="384">
        <v>174292</v>
      </c>
      <c r="E77" s="385">
        <v>583991.40999999992</v>
      </c>
      <c r="F77" s="386">
        <v>204396.99349999995</v>
      </c>
      <c r="G77" s="387">
        <f t="shared" si="0"/>
        <v>204396.99349999995</v>
      </c>
      <c r="H77" s="388" t="s">
        <v>455</v>
      </c>
      <c r="I77" s="389"/>
    </row>
    <row r="78" spans="1:9" s="375" customFormat="1" ht="13" x14ac:dyDescent="0.3">
      <c r="A78" s="382">
        <v>601504</v>
      </c>
      <c r="B78" s="383" t="s">
        <v>1108</v>
      </c>
      <c r="C78" s="384">
        <v>508705.83</v>
      </c>
      <c r="D78" s="384">
        <v>75204.58</v>
      </c>
      <c r="E78" s="385">
        <v>583910.41</v>
      </c>
      <c r="F78" s="386">
        <v>204368.64350000001</v>
      </c>
      <c r="G78" s="387">
        <f t="shared" si="0"/>
        <v>204368.64350000001</v>
      </c>
      <c r="H78" s="388" t="s">
        <v>455</v>
      </c>
      <c r="I78" s="389"/>
    </row>
    <row r="79" spans="1:9" s="375" customFormat="1" ht="13" x14ac:dyDescent="0.3">
      <c r="A79" s="382">
        <v>601964</v>
      </c>
      <c r="B79" s="383" t="s">
        <v>1126</v>
      </c>
      <c r="C79" s="384">
        <v>476804.08</v>
      </c>
      <c r="D79" s="384">
        <v>93649.79</v>
      </c>
      <c r="E79" s="385">
        <v>570453.87</v>
      </c>
      <c r="F79" s="386">
        <v>199658.85449999999</v>
      </c>
      <c r="G79" s="387">
        <f t="shared" si="0"/>
        <v>199658.85449999999</v>
      </c>
      <c r="H79" s="388" t="s">
        <v>455</v>
      </c>
      <c r="I79" s="389"/>
    </row>
    <row r="80" spans="1:9" s="375" customFormat="1" ht="13" x14ac:dyDescent="0.3">
      <c r="A80" s="382">
        <v>601781</v>
      </c>
      <c r="B80" s="383" t="s">
        <v>1125</v>
      </c>
      <c r="C80" s="384">
        <v>480443.95</v>
      </c>
      <c r="D80" s="384">
        <v>85389.390000000014</v>
      </c>
      <c r="E80" s="385">
        <v>565833.34000000008</v>
      </c>
      <c r="F80" s="386">
        <v>198041.66900000002</v>
      </c>
      <c r="G80" s="387">
        <f t="shared" si="0"/>
        <v>198041.66900000002</v>
      </c>
      <c r="H80" s="388" t="s">
        <v>455</v>
      </c>
      <c r="I80" s="389"/>
    </row>
    <row r="81" spans="1:9" s="375" customFormat="1" ht="13" x14ac:dyDescent="0.3">
      <c r="A81" s="382">
        <v>601972</v>
      </c>
      <c r="B81" s="383" t="s">
        <v>1118</v>
      </c>
      <c r="C81" s="384">
        <v>483054.84</v>
      </c>
      <c r="D81" s="384">
        <v>81854.740000000005</v>
      </c>
      <c r="E81" s="385">
        <v>564909.58000000007</v>
      </c>
      <c r="F81" s="386">
        <v>197718.353</v>
      </c>
      <c r="G81" s="387">
        <f t="shared" si="0"/>
        <v>197718.353</v>
      </c>
      <c r="H81" s="388" t="s">
        <v>455</v>
      </c>
      <c r="I81" s="389"/>
    </row>
    <row r="82" spans="1:9" s="375" customFormat="1" ht="13" x14ac:dyDescent="0.3">
      <c r="A82" s="382">
        <v>601906</v>
      </c>
      <c r="B82" s="383" t="s">
        <v>1133</v>
      </c>
      <c r="C82" s="384">
        <v>400696.29</v>
      </c>
      <c r="D82" s="384">
        <v>159228.47999999998</v>
      </c>
      <c r="E82" s="385">
        <v>559924.77</v>
      </c>
      <c r="F82" s="386">
        <v>195973.66949999999</v>
      </c>
      <c r="G82" s="387">
        <f t="shared" ref="G82:G145" si="1">E82*0.35</f>
        <v>195973.66949999999</v>
      </c>
      <c r="H82" s="388" t="s">
        <v>455</v>
      </c>
      <c r="I82" s="389"/>
    </row>
    <row r="83" spans="1:9" s="375" customFormat="1" ht="13" x14ac:dyDescent="0.3">
      <c r="A83" s="382">
        <v>601658</v>
      </c>
      <c r="B83" s="383" t="s">
        <v>1129</v>
      </c>
      <c r="C83" s="384">
        <v>422681.41</v>
      </c>
      <c r="D83" s="384">
        <v>134321.12999999998</v>
      </c>
      <c r="E83" s="385">
        <v>557002.53999999992</v>
      </c>
      <c r="F83" s="386">
        <v>194950.88899999997</v>
      </c>
      <c r="G83" s="387">
        <f t="shared" si="1"/>
        <v>194950.88899999997</v>
      </c>
      <c r="H83" s="388" t="s">
        <v>455</v>
      </c>
      <c r="I83" s="389"/>
    </row>
    <row r="84" spans="1:9" s="375" customFormat="1" ht="13" x14ac:dyDescent="0.3">
      <c r="A84" s="382">
        <v>601612</v>
      </c>
      <c r="B84" s="383" t="s">
        <v>1136</v>
      </c>
      <c r="C84" s="384">
        <v>402524.62</v>
      </c>
      <c r="D84" s="384">
        <v>151507.49</v>
      </c>
      <c r="E84" s="385">
        <v>554032.11</v>
      </c>
      <c r="F84" s="386">
        <v>193911.23849999998</v>
      </c>
      <c r="G84" s="387">
        <f t="shared" si="1"/>
        <v>193911.23849999998</v>
      </c>
      <c r="H84" s="388" t="s">
        <v>455</v>
      </c>
      <c r="I84" s="389"/>
    </row>
    <row r="85" spans="1:9" s="375" customFormat="1" ht="13" x14ac:dyDescent="0.3">
      <c r="A85" s="382">
        <v>601690</v>
      </c>
      <c r="B85" s="383" t="s">
        <v>1117</v>
      </c>
      <c r="C85" s="384">
        <v>379876.63</v>
      </c>
      <c r="D85" s="384">
        <v>170642.17</v>
      </c>
      <c r="E85" s="385">
        <v>550518.80000000005</v>
      </c>
      <c r="F85" s="386">
        <v>192681.58000000002</v>
      </c>
      <c r="G85" s="387">
        <f t="shared" si="1"/>
        <v>192681.58000000002</v>
      </c>
      <c r="H85" s="388" t="s">
        <v>455</v>
      </c>
      <c r="I85" s="389"/>
    </row>
    <row r="86" spans="1:9" s="375" customFormat="1" ht="13" x14ac:dyDescent="0.3">
      <c r="A86" s="382">
        <v>601652</v>
      </c>
      <c r="B86" s="383" t="s">
        <v>1134</v>
      </c>
      <c r="C86" s="384">
        <v>420506.64999999997</v>
      </c>
      <c r="D86" s="384">
        <v>122634.18000000001</v>
      </c>
      <c r="E86" s="385">
        <v>543140.82999999996</v>
      </c>
      <c r="F86" s="386">
        <v>190099.29049999997</v>
      </c>
      <c r="G86" s="387">
        <f t="shared" si="1"/>
        <v>190099.29049999997</v>
      </c>
      <c r="H86" s="388" t="s">
        <v>455</v>
      </c>
      <c r="I86" s="389"/>
    </row>
    <row r="87" spans="1:9" s="375" customFormat="1" ht="13" x14ac:dyDescent="0.3">
      <c r="A87" s="382">
        <v>601981</v>
      </c>
      <c r="B87" s="383" t="s">
        <v>1135</v>
      </c>
      <c r="C87" s="384">
        <v>411305.63</v>
      </c>
      <c r="D87" s="384">
        <v>119164.55</v>
      </c>
      <c r="E87" s="385">
        <v>530470.18000000005</v>
      </c>
      <c r="F87" s="386">
        <v>185664.56299999999</v>
      </c>
      <c r="G87" s="387">
        <f t="shared" si="1"/>
        <v>185664.56299999999</v>
      </c>
      <c r="H87" s="388" t="s">
        <v>455</v>
      </c>
      <c r="I87" s="389"/>
    </row>
    <row r="88" spans="1:9" s="375" customFormat="1" ht="13" x14ac:dyDescent="0.3">
      <c r="A88" s="382">
        <v>601559</v>
      </c>
      <c r="B88" s="383" t="s">
        <v>1124</v>
      </c>
      <c r="C88" s="384">
        <v>407126.23</v>
      </c>
      <c r="D88" s="384">
        <v>117725.74</v>
      </c>
      <c r="E88" s="385">
        <v>524851.97</v>
      </c>
      <c r="F88" s="386">
        <v>183698.18949999998</v>
      </c>
      <c r="G88" s="387">
        <f t="shared" si="1"/>
        <v>183698.18949999998</v>
      </c>
      <c r="H88" s="388" t="s">
        <v>455</v>
      </c>
      <c r="I88" s="389"/>
    </row>
    <row r="89" spans="1:9" s="375" customFormat="1" ht="13" x14ac:dyDescent="0.3">
      <c r="A89" s="382">
        <v>601993</v>
      </c>
      <c r="B89" s="383" t="s">
        <v>1130</v>
      </c>
      <c r="C89" s="384">
        <v>412075.83</v>
      </c>
      <c r="D89" s="384">
        <v>106531.24</v>
      </c>
      <c r="E89" s="385">
        <v>518607.07</v>
      </c>
      <c r="F89" s="386">
        <v>181512.47449999998</v>
      </c>
      <c r="G89" s="387">
        <f t="shared" si="1"/>
        <v>181512.47449999998</v>
      </c>
      <c r="H89" s="388" t="s">
        <v>455</v>
      </c>
      <c r="I89" s="389"/>
    </row>
    <row r="90" spans="1:9" s="375" customFormat="1" ht="13" x14ac:dyDescent="0.3">
      <c r="A90" s="382">
        <v>601791</v>
      </c>
      <c r="B90" s="383" t="s">
        <v>1138</v>
      </c>
      <c r="C90" s="384">
        <v>368732.45</v>
      </c>
      <c r="D90" s="384">
        <v>144479.09</v>
      </c>
      <c r="E90" s="385">
        <v>513211.54000000004</v>
      </c>
      <c r="F90" s="386">
        <v>179624.03899999999</v>
      </c>
      <c r="G90" s="387">
        <f t="shared" si="1"/>
        <v>179624.03899999999</v>
      </c>
      <c r="H90" s="388" t="s">
        <v>455</v>
      </c>
      <c r="I90" s="389"/>
    </row>
    <row r="91" spans="1:9" s="375" customFormat="1" ht="13" x14ac:dyDescent="0.3">
      <c r="A91" s="382">
        <v>601533</v>
      </c>
      <c r="B91" s="383" t="s">
        <v>1132</v>
      </c>
      <c r="C91" s="384">
        <v>373765.73</v>
      </c>
      <c r="D91" s="384">
        <v>135661.72</v>
      </c>
      <c r="E91" s="385">
        <v>509427.44999999995</v>
      </c>
      <c r="F91" s="386">
        <v>178299.60749999998</v>
      </c>
      <c r="G91" s="387">
        <f t="shared" si="1"/>
        <v>178299.60749999998</v>
      </c>
      <c r="H91" s="388" t="s">
        <v>455</v>
      </c>
      <c r="I91" s="389"/>
    </row>
    <row r="92" spans="1:9" s="375" customFormat="1" ht="13" x14ac:dyDescent="0.3">
      <c r="A92" s="382">
        <v>601728</v>
      </c>
      <c r="B92" s="383" t="s">
        <v>1131</v>
      </c>
      <c r="C92" s="384">
        <v>398360.48</v>
      </c>
      <c r="D92" s="384">
        <v>84944.45</v>
      </c>
      <c r="E92" s="385">
        <v>483304.93</v>
      </c>
      <c r="F92" s="386">
        <v>169156.7255</v>
      </c>
      <c r="G92" s="387">
        <f t="shared" si="1"/>
        <v>169156.7255</v>
      </c>
      <c r="H92" s="388" t="s">
        <v>455</v>
      </c>
      <c r="I92" s="389"/>
    </row>
    <row r="93" spans="1:9" s="375" customFormat="1" ht="13" x14ac:dyDescent="0.3">
      <c r="A93" s="382">
        <v>601511</v>
      </c>
      <c r="B93" s="383" t="s">
        <v>1141</v>
      </c>
      <c r="C93" s="384">
        <v>395249.95999999996</v>
      </c>
      <c r="D93" s="384">
        <v>70607.25</v>
      </c>
      <c r="E93" s="385">
        <v>465857.20999999996</v>
      </c>
      <c r="F93" s="386">
        <v>163050.02349999998</v>
      </c>
      <c r="G93" s="387">
        <f t="shared" si="1"/>
        <v>163050.02349999998</v>
      </c>
      <c r="H93" s="388" t="s">
        <v>455</v>
      </c>
      <c r="I93" s="389"/>
    </row>
    <row r="94" spans="1:9" s="375" customFormat="1" ht="13" x14ac:dyDescent="0.3">
      <c r="A94" s="382">
        <v>601644</v>
      </c>
      <c r="B94" s="383" t="s">
        <v>1128</v>
      </c>
      <c r="C94" s="384">
        <v>403140.49</v>
      </c>
      <c r="D94" s="384">
        <v>54213.090000000004</v>
      </c>
      <c r="E94" s="385">
        <v>457353.58</v>
      </c>
      <c r="F94" s="386">
        <v>160073.753</v>
      </c>
      <c r="G94" s="387">
        <f t="shared" si="1"/>
        <v>160073.753</v>
      </c>
      <c r="H94" s="388" t="s">
        <v>455</v>
      </c>
      <c r="I94" s="389"/>
    </row>
    <row r="95" spans="1:9" s="375" customFormat="1" ht="13" x14ac:dyDescent="0.3">
      <c r="A95" s="382">
        <v>601680</v>
      </c>
      <c r="B95" s="383" t="s">
        <v>1140</v>
      </c>
      <c r="C95" s="384">
        <v>373743.69</v>
      </c>
      <c r="D95" s="384">
        <v>82073.990000000005</v>
      </c>
      <c r="E95" s="385">
        <v>455817.68</v>
      </c>
      <c r="F95" s="386">
        <v>159536.18799999999</v>
      </c>
      <c r="G95" s="387">
        <f t="shared" si="1"/>
        <v>159536.18799999999</v>
      </c>
      <c r="H95" s="388" t="s">
        <v>455</v>
      </c>
      <c r="I95" s="389"/>
    </row>
    <row r="96" spans="1:9" s="375" customFormat="1" ht="13" x14ac:dyDescent="0.3">
      <c r="A96" s="382">
        <v>601977</v>
      </c>
      <c r="B96" s="383" t="s">
        <v>1147</v>
      </c>
      <c r="C96" s="384">
        <v>310614.84999999998</v>
      </c>
      <c r="D96" s="384">
        <v>135040.37999999998</v>
      </c>
      <c r="E96" s="385">
        <v>445655.23</v>
      </c>
      <c r="F96" s="386">
        <v>155979.33049999998</v>
      </c>
      <c r="G96" s="387">
        <f t="shared" si="1"/>
        <v>155979.33049999998</v>
      </c>
      <c r="H96" s="388" t="s">
        <v>455</v>
      </c>
      <c r="I96" s="389"/>
    </row>
    <row r="97" spans="1:9" s="375" customFormat="1" ht="13" x14ac:dyDescent="0.3">
      <c r="A97" s="382">
        <v>601720</v>
      </c>
      <c r="B97" s="383" t="s">
        <v>1144</v>
      </c>
      <c r="C97" s="384">
        <v>354163.31</v>
      </c>
      <c r="D97" s="384">
        <v>89711.73</v>
      </c>
      <c r="E97" s="385">
        <v>443875.04</v>
      </c>
      <c r="F97" s="386">
        <v>155356.264</v>
      </c>
      <c r="G97" s="387">
        <f t="shared" si="1"/>
        <v>155356.264</v>
      </c>
      <c r="H97" s="388" t="s">
        <v>455</v>
      </c>
      <c r="I97" s="389"/>
    </row>
    <row r="98" spans="1:9" s="375" customFormat="1" ht="13" x14ac:dyDescent="0.3">
      <c r="A98" s="382">
        <v>601678</v>
      </c>
      <c r="B98" s="383" t="s">
        <v>1145</v>
      </c>
      <c r="C98" s="384">
        <v>340025.44</v>
      </c>
      <c r="D98" s="384">
        <v>97088.52</v>
      </c>
      <c r="E98" s="385">
        <v>437113.96</v>
      </c>
      <c r="F98" s="386">
        <v>152989.886</v>
      </c>
      <c r="G98" s="387">
        <f t="shared" si="1"/>
        <v>152989.886</v>
      </c>
      <c r="H98" s="388" t="s">
        <v>455</v>
      </c>
      <c r="I98" s="389"/>
    </row>
    <row r="99" spans="1:9" s="375" customFormat="1" ht="13" x14ac:dyDescent="0.3">
      <c r="A99" s="382">
        <v>601702</v>
      </c>
      <c r="B99" s="383" t="s">
        <v>1148</v>
      </c>
      <c r="C99" s="384">
        <v>383879.75</v>
      </c>
      <c r="D99" s="384">
        <v>47333.649999999994</v>
      </c>
      <c r="E99" s="385">
        <v>431213.4</v>
      </c>
      <c r="F99" s="386">
        <v>150924.69</v>
      </c>
      <c r="G99" s="387">
        <f t="shared" si="1"/>
        <v>150924.69</v>
      </c>
      <c r="H99" s="388" t="s">
        <v>455</v>
      </c>
      <c r="I99" s="389"/>
    </row>
    <row r="100" spans="1:9" s="375" customFormat="1" ht="13" x14ac:dyDescent="0.3">
      <c r="A100" s="382">
        <v>601732</v>
      </c>
      <c r="B100" s="383" t="s">
        <v>235</v>
      </c>
      <c r="C100" s="384">
        <v>354981.87</v>
      </c>
      <c r="D100" s="384">
        <v>71005.079999999987</v>
      </c>
      <c r="E100" s="385">
        <v>425986.94999999995</v>
      </c>
      <c r="F100" s="386">
        <v>149095.43249999997</v>
      </c>
      <c r="G100" s="387">
        <f t="shared" si="1"/>
        <v>149095.43249999997</v>
      </c>
      <c r="H100" s="388" t="s">
        <v>455</v>
      </c>
      <c r="I100" s="389"/>
    </row>
    <row r="101" spans="1:9" s="375" customFormat="1" ht="13" x14ac:dyDescent="0.3">
      <c r="A101" s="382">
        <v>601510</v>
      </c>
      <c r="B101" s="383" t="s">
        <v>1142</v>
      </c>
      <c r="C101" s="384">
        <v>358491.05</v>
      </c>
      <c r="D101" s="384">
        <v>65662.77</v>
      </c>
      <c r="E101" s="385">
        <v>424153.82</v>
      </c>
      <c r="F101" s="386">
        <v>148453.837</v>
      </c>
      <c r="G101" s="387">
        <f t="shared" si="1"/>
        <v>148453.837</v>
      </c>
      <c r="H101" s="388" t="s">
        <v>455</v>
      </c>
      <c r="I101" s="389"/>
    </row>
    <row r="102" spans="1:9" s="375" customFormat="1" ht="13" x14ac:dyDescent="0.3">
      <c r="A102" s="382">
        <v>601952</v>
      </c>
      <c r="B102" s="383" t="s">
        <v>1150</v>
      </c>
      <c r="C102" s="384">
        <v>326494.90999999997</v>
      </c>
      <c r="D102" s="384">
        <v>96232.03</v>
      </c>
      <c r="E102" s="385">
        <v>422726.93999999994</v>
      </c>
      <c r="F102" s="386">
        <v>147954.42899999997</v>
      </c>
      <c r="G102" s="387">
        <f t="shared" si="1"/>
        <v>147954.42899999997</v>
      </c>
      <c r="H102" s="388" t="s">
        <v>455</v>
      </c>
      <c r="I102" s="389"/>
    </row>
    <row r="103" spans="1:9" s="375" customFormat="1" ht="13" x14ac:dyDescent="0.3">
      <c r="A103" s="382">
        <v>601812</v>
      </c>
      <c r="B103" s="383" t="s">
        <v>1153</v>
      </c>
      <c r="C103" s="384">
        <v>326157.56</v>
      </c>
      <c r="D103" s="384">
        <v>92143.819999999992</v>
      </c>
      <c r="E103" s="385">
        <v>418301.38</v>
      </c>
      <c r="F103" s="386">
        <v>146405.48299999998</v>
      </c>
      <c r="G103" s="387">
        <f t="shared" si="1"/>
        <v>146405.48299999998</v>
      </c>
      <c r="H103" s="388" t="s">
        <v>455</v>
      </c>
      <c r="I103" s="389"/>
    </row>
    <row r="104" spans="1:9" s="375" customFormat="1" ht="13" x14ac:dyDescent="0.3">
      <c r="A104" s="382">
        <v>601550</v>
      </c>
      <c r="B104" s="383" t="s">
        <v>1149</v>
      </c>
      <c r="C104" s="384">
        <v>341417.45999999996</v>
      </c>
      <c r="D104" s="384">
        <v>72880.319999999992</v>
      </c>
      <c r="E104" s="385">
        <v>414297.77999999997</v>
      </c>
      <c r="F104" s="386">
        <v>145004.22299999997</v>
      </c>
      <c r="G104" s="387">
        <f t="shared" si="1"/>
        <v>145004.22299999997</v>
      </c>
      <c r="H104" s="388" t="s">
        <v>455</v>
      </c>
      <c r="I104" s="389"/>
    </row>
    <row r="105" spans="1:9" s="375" customFormat="1" ht="13" x14ac:dyDescent="0.3">
      <c r="A105" s="382">
        <v>601729</v>
      </c>
      <c r="B105" s="383" t="s">
        <v>1143</v>
      </c>
      <c r="C105" s="384">
        <v>295642.15999999997</v>
      </c>
      <c r="D105" s="384">
        <v>109073.40999999999</v>
      </c>
      <c r="E105" s="385">
        <v>404715.56999999995</v>
      </c>
      <c r="F105" s="386">
        <v>141650.44949999996</v>
      </c>
      <c r="G105" s="387">
        <f t="shared" si="1"/>
        <v>141650.44949999996</v>
      </c>
      <c r="H105" s="388" t="s">
        <v>455</v>
      </c>
      <c r="I105" s="389"/>
    </row>
    <row r="106" spans="1:9" s="375" customFormat="1" ht="13" x14ac:dyDescent="0.3">
      <c r="A106" s="382">
        <v>601742</v>
      </c>
      <c r="B106" s="383" t="s">
        <v>1146</v>
      </c>
      <c r="C106" s="384">
        <v>334027.38</v>
      </c>
      <c r="D106" s="384">
        <v>68114.939999999988</v>
      </c>
      <c r="E106" s="385">
        <v>402142.32</v>
      </c>
      <c r="F106" s="386">
        <v>140749.81200000001</v>
      </c>
      <c r="G106" s="387">
        <f t="shared" si="1"/>
        <v>140749.81200000001</v>
      </c>
      <c r="H106" s="388" t="s">
        <v>455</v>
      </c>
      <c r="I106" s="389"/>
    </row>
    <row r="107" spans="1:9" s="375" customFormat="1" ht="13" x14ac:dyDescent="0.3">
      <c r="A107" s="382">
        <v>601655</v>
      </c>
      <c r="B107" s="383" t="s">
        <v>1167</v>
      </c>
      <c r="C107" s="384">
        <v>271338.19</v>
      </c>
      <c r="D107" s="384">
        <v>127217.36</v>
      </c>
      <c r="E107" s="385">
        <v>398555.55</v>
      </c>
      <c r="F107" s="386">
        <v>139494.44249999998</v>
      </c>
      <c r="G107" s="387">
        <f t="shared" si="1"/>
        <v>139494.44249999998</v>
      </c>
      <c r="H107" s="388" t="s">
        <v>455</v>
      </c>
      <c r="I107" s="389"/>
    </row>
    <row r="108" spans="1:9" s="375" customFormat="1" ht="13" x14ac:dyDescent="0.3">
      <c r="A108" s="382">
        <v>601933</v>
      </c>
      <c r="B108" s="383" t="s">
        <v>1160</v>
      </c>
      <c r="C108" s="384">
        <v>273037.57</v>
      </c>
      <c r="D108" s="384">
        <v>113748.64</v>
      </c>
      <c r="E108" s="385">
        <v>386786.21</v>
      </c>
      <c r="F108" s="386">
        <v>135375.1735</v>
      </c>
      <c r="G108" s="387">
        <f t="shared" si="1"/>
        <v>135375.1735</v>
      </c>
      <c r="H108" s="388" t="s">
        <v>455</v>
      </c>
      <c r="I108" s="389"/>
    </row>
    <row r="109" spans="1:9" s="375" customFormat="1" ht="13" x14ac:dyDescent="0.3">
      <c r="A109" s="382">
        <v>601874</v>
      </c>
      <c r="B109" s="383" t="s">
        <v>1164</v>
      </c>
      <c r="C109" s="384">
        <v>310293.78999999998</v>
      </c>
      <c r="D109" s="384">
        <v>71448.7</v>
      </c>
      <c r="E109" s="385">
        <v>381742.49</v>
      </c>
      <c r="F109" s="386">
        <v>133609.87149999998</v>
      </c>
      <c r="G109" s="387">
        <f t="shared" si="1"/>
        <v>133609.87149999998</v>
      </c>
      <c r="H109" s="388" t="s">
        <v>455</v>
      </c>
      <c r="I109" s="389"/>
    </row>
    <row r="110" spans="1:9" s="375" customFormat="1" ht="13" x14ac:dyDescent="0.3">
      <c r="A110" s="382">
        <v>601802</v>
      </c>
      <c r="B110" s="383" t="s">
        <v>1151</v>
      </c>
      <c r="C110" s="384">
        <v>304946.08</v>
      </c>
      <c r="D110" s="384">
        <v>72054.900000000009</v>
      </c>
      <c r="E110" s="385">
        <v>377000.98000000004</v>
      </c>
      <c r="F110" s="386">
        <v>131950.34299999999</v>
      </c>
      <c r="G110" s="387">
        <f t="shared" si="1"/>
        <v>131950.34299999999</v>
      </c>
      <c r="H110" s="388" t="s">
        <v>455</v>
      </c>
      <c r="I110" s="389"/>
    </row>
    <row r="111" spans="1:9" s="375" customFormat="1" ht="13" x14ac:dyDescent="0.3">
      <c r="A111" s="382">
        <v>601739</v>
      </c>
      <c r="B111" s="383" t="s">
        <v>1152</v>
      </c>
      <c r="C111" s="384">
        <v>313692.49</v>
      </c>
      <c r="D111" s="384">
        <v>63163.56</v>
      </c>
      <c r="E111" s="385">
        <v>376856.05</v>
      </c>
      <c r="F111" s="386">
        <v>131899.61749999999</v>
      </c>
      <c r="G111" s="387">
        <f t="shared" si="1"/>
        <v>131899.61749999999</v>
      </c>
      <c r="H111" s="388" t="s">
        <v>455</v>
      </c>
      <c r="I111" s="389"/>
    </row>
    <row r="112" spans="1:9" s="375" customFormat="1" ht="13" x14ac:dyDescent="0.3">
      <c r="A112" s="382">
        <v>601843</v>
      </c>
      <c r="B112" s="383" t="s">
        <v>1156</v>
      </c>
      <c r="C112" s="384">
        <v>268258.65999999997</v>
      </c>
      <c r="D112" s="384">
        <v>108146.01000000001</v>
      </c>
      <c r="E112" s="385">
        <v>376404.67</v>
      </c>
      <c r="F112" s="386">
        <v>131741.63449999999</v>
      </c>
      <c r="G112" s="387">
        <f t="shared" si="1"/>
        <v>131741.63449999999</v>
      </c>
      <c r="H112" s="388" t="s">
        <v>455</v>
      </c>
      <c r="I112" s="389"/>
    </row>
    <row r="113" spans="1:9" s="375" customFormat="1" ht="13" x14ac:dyDescent="0.3">
      <c r="A113" s="382">
        <v>601862</v>
      </c>
      <c r="B113" s="383" t="s">
        <v>1157</v>
      </c>
      <c r="C113" s="384">
        <v>317743.68</v>
      </c>
      <c r="D113" s="384">
        <v>53545.65</v>
      </c>
      <c r="E113" s="385">
        <v>371289.33</v>
      </c>
      <c r="F113" s="386">
        <v>129951.26549999999</v>
      </c>
      <c r="G113" s="387">
        <f t="shared" si="1"/>
        <v>129951.26549999999</v>
      </c>
      <c r="H113" s="388" t="s">
        <v>455</v>
      </c>
      <c r="I113" s="389"/>
    </row>
    <row r="114" spans="1:9" s="375" customFormat="1" ht="13" x14ac:dyDescent="0.3">
      <c r="A114" s="382">
        <v>601744</v>
      </c>
      <c r="B114" s="383" t="s">
        <v>1169</v>
      </c>
      <c r="C114" s="384">
        <v>238585.9</v>
      </c>
      <c r="D114" s="384">
        <v>127309.21</v>
      </c>
      <c r="E114" s="385">
        <v>365895.11</v>
      </c>
      <c r="F114" s="386">
        <v>128063.28849999998</v>
      </c>
      <c r="G114" s="387">
        <f t="shared" si="1"/>
        <v>128063.28849999998</v>
      </c>
      <c r="H114" s="388" t="s">
        <v>455</v>
      </c>
      <c r="I114" s="389"/>
    </row>
    <row r="115" spans="1:9" s="375" customFormat="1" ht="13" x14ac:dyDescent="0.3">
      <c r="A115" s="382">
        <v>601526</v>
      </c>
      <c r="B115" s="383" t="s">
        <v>1158</v>
      </c>
      <c r="C115" s="384">
        <v>296420.78999999998</v>
      </c>
      <c r="D115" s="384">
        <v>67872.69</v>
      </c>
      <c r="E115" s="385">
        <v>364293.48</v>
      </c>
      <c r="F115" s="386">
        <v>127502.71799999998</v>
      </c>
      <c r="G115" s="387">
        <f t="shared" si="1"/>
        <v>127502.71799999998</v>
      </c>
      <c r="H115" s="388" t="s">
        <v>455</v>
      </c>
      <c r="I115" s="389"/>
    </row>
    <row r="116" spans="1:9" s="375" customFormat="1" ht="13" x14ac:dyDescent="0.3">
      <c r="A116" s="382">
        <v>601605</v>
      </c>
      <c r="B116" s="383" t="s">
        <v>1165</v>
      </c>
      <c r="C116" s="384">
        <v>347685.77</v>
      </c>
      <c r="D116" s="384">
        <v>13065.43</v>
      </c>
      <c r="E116" s="385">
        <v>360751.2</v>
      </c>
      <c r="F116" s="386">
        <v>126262.92</v>
      </c>
      <c r="G116" s="387">
        <f t="shared" si="1"/>
        <v>126262.92</v>
      </c>
      <c r="H116" s="388" t="s">
        <v>455</v>
      </c>
      <c r="I116" s="389"/>
    </row>
    <row r="117" spans="1:9" s="375" customFormat="1" ht="13" x14ac:dyDescent="0.3">
      <c r="A117" s="382">
        <v>601931</v>
      </c>
      <c r="B117" s="383" t="s">
        <v>1163</v>
      </c>
      <c r="C117" s="384">
        <v>277756.08</v>
      </c>
      <c r="D117" s="384">
        <v>82245.97</v>
      </c>
      <c r="E117" s="385">
        <v>360002.05000000005</v>
      </c>
      <c r="F117" s="386">
        <v>126000.71750000001</v>
      </c>
      <c r="G117" s="387">
        <f t="shared" si="1"/>
        <v>126000.71750000001</v>
      </c>
      <c r="H117" s="388" t="s">
        <v>455</v>
      </c>
      <c r="I117" s="389"/>
    </row>
    <row r="118" spans="1:9" s="375" customFormat="1" ht="13" x14ac:dyDescent="0.3">
      <c r="A118" s="382">
        <v>601974</v>
      </c>
      <c r="B118" s="383" t="s">
        <v>1161</v>
      </c>
      <c r="C118" s="384">
        <v>267787.96000000002</v>
      </c>
      <c r="D118" s="384">
        <v>83033.89</v>
      </c>
      <c r="E118" s="385">
        <v>350821.85000000003</v>
      </c>
      <c r="F118" s="386">
        <v>122787.64750000001</v>
      </c>
      <c r="G118" s="387">
        <f t="shared" si="1"/>
        <v>122787.64750000001</v>
      </c>
      <c r="H118" s="388" t="s">
        <v>455</v>
      </c>
      <c r="I118" s="389"/>
    </row>
    <row r="119" spans="1:9" s="375" customFormat="1" ht="13" x14ac:dyDescent="0.3">
      <c r="A119" s="382">
        <v>601693</v>
      </c>
      <c r="B119" s="383" t="s">
        <v>1166</v>
      </c>
      <c r="C119" s="384">
        <v>287848.19</v>
      </c>
      <c r="D119" s="384">
        <v>56246.080000000002</v>
      </c>
      <c r="E119" s="385">
        <v>344094.27</v>
      </c>
      <c r="F119" s="386">
        <v>120432.9945</v>
      </c>
      <c r="G119" s="387">
        <f t="shared" si="1"/>
        <v>120432.9945</v>
      </c>
      <c r="H119" s="388" t="s">
        <v>455</v>
      </c>
      <c r="I119" s="389"/>
    </row>
    <row r="120" spans="1:9" s="375" customFormat="1" ht="13" x14ac:dyDescent="0.3">
      <c r="A120" s="382">
        <v>601769</v>
      </c>
      <c r="B120" s="383" t="s">
        <v>1155</v>
      </c>
      <c r="C120" s="384">
        <v>307509.46000000002</v>
      </c>
      <c r="D120" s="384">
        <v>31385.64</v>
      </c>
      <c r="E120" s="385">
        <v>338895.10000000003</v>
      </c>
      <c r="F120" s="386">
        <v>118613.285</v>
      </c>
      <c r="G120" s="387">
        <f t="shared" si="1"/>
        <v>118613.285</v>
      </c>
      <c r="H120" s="388" t="s">
        <v>455</v>
      </c>
      <c r="I120" s="389"/>
    </row>
    <row r="121" spans="1:9" s="375" customFormat="1" ht="13" x14ac:dyDescent="0.3">
      <c r="A121" s="382">
        <v>601704</v>
      </c>
      <c r="B121" s="383" t="s">
        <v>1168</v>
      </c>
      <c r="C121" s="384">
        <v>300605.84999999998</v>
      </c>
      <c r="D121" s="384">
        <v>33301.590000000004</v>
      </c>
      <c r="E121" s="385">
        <v>333907.44</v>
      </c>
      <c r="F121" s="386">
        <v>116867.60399999999</v>
      </c>
      <c r="G121" s="387">
        <f t="shared" si="1"/>
        <v>116867.60399999999</v>
      </c>
      <c r="H121" s="388" t="s">
        <v>455</v>
      </c>
      <c r="I121" s="389"/>
    </row>
    <row r="122" spans="1:9" s="375" customFormat="1" ht="13" x14ac:dyDescent="0.3">
      <c r="A122" s="382">
        <v>601733</v>
      </c>
      <c r="B122" s="383" t="s">
        <v>1154</v>
      </c>
      <c r="C122" s="384">
        <v>272173.08</v>
      </c>
      <c r="D122" s="384">
        <v>60475.96</v>
      </c>
      <c r="E122" s="385">
        <v>332649.04000000004</v>
      </c>
      <c r="F122" s="386">
        <v>116427.164</v>
      </c>
      <c r="G122" s="387">
        <f t="shared" si="1"/>
        <v>116427.164</v>
      </c>
      <c r="H122" s="388" t="s">
        <v>455</v>
      </c>
      <c r="I122" s="389"/>
    </row>
    <row r="123" spans="1:9" s="375" customFormat="1" ht="13" x14ac:dyDescent="0.3">
      <c r="A123" s="382">
        <v>601741</v>
      </c>
      <c r="B123" s="383" t="s">
        <v>1206</v>
      </c>
      <c r="C123" s="384">
        <v>90291.199999999997</v>
      </c>
      <c r="D123" s="384">
        <v>237245.46000000002</v>
      </c>
      <c r="E123" s="385">
        <v>327536.66000000003</v>
      </c>
      <c r="F123" s="386">
        <v>114637.83100000001</v>
      </c>
      <c r="G123" s="387">
        <f t="shared" si="1"/>
        <v>114637.83100000001</v>
      </c>
      <c r="H123" s="388" t="s">
        <v>455</v>
      </c>
      <c r="I123" s="389"/>
    </row>
    <row r="124" spans="1:9" s="375" customFormat="1" ht="13" x14ac:dyDescent="0.3">
      <c r="A124" s="382">
        <v>601887</v>
      </c>
      <c r="B124" s="383" t="s">
        <v>1173</v>
      </c>
      <c r="C124" s="384">
        <v>200220.62</v>
      </c>
      <c r="D124" s="384">
        <v>117444.68999999999</v>
      </c>
      <c r="E124" s="385">
        <v>317665.31</v>
      </c>
      <c r="F124" s="386">
        <v>111182.85849999999</v>
      </c>
      <c r="G124" s="387">
        <f t="shared" si="1"/>
        <v>111182.85849999999</v>
      </c>
      <c r="H124" s="388" t="s">
        <v>455</v>
      </c>
      <c r="I124" s="389"/>
    </row>
    <row r="125" spans="1:9" s="375" customFormat="1" ht="13" x14ac:dyDescent="0.3">
      <c r="A125" s="382">
        <v>601775</v>
      </c>
      <c r="B125" s="383" t="s">
        <v>1172</v>
      </c>
      <c r="C125" s="384">
        <v>273355.14999999997</v>
      </c>
      <c r="D125" s="384">
        <v>40724.149999999994</v>
      </c>
      <c r="E125" s="385">
        <v>314079.29999999993</v>
      </c>
      <c r="F125" s="386">
        <v>109927.75499999998</v>
      </c>
      <c r="G125" s="387">
        <f t="shared" si="1"/>
        <v>109927.75499999998</v>
      </c>
      <c r="H125" s="388" t="s">
        <v>455</v>
      </c>
      <c r="I125" s="389"/>
    </row>
    <row r="126" spans="1:9" s="375" customFormat="1" ht="13" x14ac:dyDescent="0.3">
      <c r="A126" s="382">
        <v>601799</v>
      </c>
      <c r="B126" s="383" t="s">
        <v>1162</v>
      </c>
      <c r="C126" s="384">
        <v>283955.59999999998</v>
      </c>
      <c r="D126" s="384">
        <v>28146.07</v>
      </c>
      <c r="E126" s="385">
        <v>312101.67</v>
      </c>
      <c r="F126" s="386">
        <v>109235.58449999998</v>
      </c>
      <c r="G126" s="387">
        <f t="shared" si="1"/>
        <v>109235.58449999998</v>
      </c>
      <c r="H126" s="388" t="s">
        <v>455</v>
      </c>
      <c r="I126" s="389"/>
    </row>
    <row r="127" spans="1:9" s="375" customFormat="1" ht="13" x14ac:dyDescent="0.3">
      <c r="A127" s="382">
        <v>601556</v>
      </c>
      <c r="B127" s="383" t="s">
        <v>1170</v>
      </c>
      <c r="C127" s="384">
        <v>242693.92</v>
      </c>
      <c r="D127" s="384">
        <v>56876.39</v>
      </c>
      <c r="E127" s="385">
        <v>299570.31</v>
      </c>
      <c r="F127" s="386">
        <v>104849.60849999999</v>
      </c>
      <c r="G127" s="387">
        <f t="shared" si="1"/>
        <v>104849.60849999999</v>
      </c>
      <c r="H127" s="388" t="s">
        <v>455</v>
      </c>
      <c r="I127" s="389"/>
    </row>
    <row r="128" spans="1:9" s="375" customFormat="1" ht="13" x14ac:dyDescent="0.3">
      <c r="A128" s="382">
        <v>601685</v>
      </c>
      <c r="B128" s="383" t="s">
        <v>1176</v>
      </c>
      <c r="C128" s="384">
        <v>264568.67</v>
      </c>
      <c r="D128" s="384">
        <v>29717.82</v>
      </c>
      <c r="E128" s="385">
        <v>294286.49</v>
      </c>
      <c r="F128" s="386">
        <v>103000.27149999999</v>
      </c>
      <c r="G128" s="387">
        <f t="shared" si="1"/>
        <v>103000.27149999999</v>
      </c>
      <c r="H128" s="388" t="s">
        <v>455</v>
      </c>
      <c r="I128" s="389"/>
    </row>
    <row r="129" spans="1:9" s="375" customFormat="1" ht="13" x14ac:dyDescent="0.3">
      <c r="A129" s="382">
        <v>601976</v>
      </c>
      <c r="B129" s="383" t="s">
        <v>1171</v>
      </c>
      <c r="C129" s="384">
        <v>233219.03</v>
      </c>
      <c r="D129" s="384">
        <v>59937.96</v>
      </c>
      <c r="E129" s="385">
        <v>293156.99</v>
      </c>
      <c r="F129" s="386">
        <v>102604.94649999999</v>
      </c>
      <c r="G129" s="387">
        <f t="shared" si="1"/>
        <v>102604.94649999999</v>
      </c>
      <c r="H129" s="388" t="s">
        <v>455</v>
      </c>
      <c r="I129" s="389"/>
    </row>
    <row r="130" spans="1:9" s="375" customFormat="1" ht="13" x14ac:dyDescent="0.3">
      <c r="A130" s="382">
        <v>601697</v>
      </c>
      <c r="B130" s="383" t="s">
        <v>1179</v>
      </c>
      <c r="C130" s="384">
        <v>240771.72</v>
      </c>
      <c r="D130" s="384">
        <v>48718.35</v>
      </c>
      <c r="E130" s="385">
        <v>289490.07</v>
      </c>
      <c r="F130" s="386">
        <v>101321.5245</v>
      </c>
      <c r="G130" s="387">
        <f t="shared" si="1"/>
        <v>101321.5245</v>
      </c>
      <c r="H130" s="388" t="s">
        <v>455</v>
      </c>
      <c r="I130" s="389"/>
    </row>
    <row r="131" spans="1:9" s="375" customFormat="1" ht="13" x14ac:dyDescent="0.3">
      <c r="A131" s="382">
        <v>601731</v>
      </c>
      <c r="B131" s="383" t="s">
        <v>1175</v>
      </c>
      <c r="C131" s="384">
        <v>258769.41999999998</v>
      </c>
      <c r="D131" s="384">
        <v>28859.34</v>
      </c>
      <c r="E131" s="385">
        <v>287628.76</v>
      </c>
      <c r="F131" s="386">
        <v>100670.06599999999</v>
      </c>
      <c r="G131" s="387">
        <f t="shared" si="1"/>
        <v>100670.06599999999</v>
      </c>
      <c r="H131" s="388" t="s">
        <v>455</v>
      </c>
      <c r="I131" s="389"/>
    </row>
    <row r="132" spans="1:9" s="375" customFormat="1" ht="13" x14ac:dyDescent="0.3">
      <c r="A132" s="382">
        <v>601734</v>
      </c>
      <c r="B132" s="383" t="s">
        <v>1159</v>
      </c>
      <c r="C132" s="384">
        <v>233707.02</v>
      </c>
      <c r="D132" s="384">
        <v>52290.14</v>
      </c>
      <c r="E132" s="385">
        <v>285997.15999999997</v>
      </c>
      <c r="F132" s="386">
        <v>100099.00599999998</v>
      </c>
      <c r="G132" s="387">
        <f t="shared" si="1"/>
        <v>100099.00599999998</v>
      </c>
      <c r="H132" s="388" t="s">
        <v>455</v>
      </c>
      <c r="I132" s="389"/>
    </row>
    <row r="133" spans="1:9" s="375" customFormat="1" ht="13" x14ac:dyDescent="0.3">
      <c r="A133" s="382">
        <v>601771</v>
      </c>
      <c r="B133" s="383" t="s">
        <v>1174</v>
      </c>
      <c r="C133" s="384">
        <v>198590.89</v>
      </c>
      <c r="D133" s="384">
        <v>85767.8</v>
      </c>
      <c r="E133" s="385">
        <v>284358.69</v>
      </c>
      <c r="F133" s="386">
        <v>99525.541499999992</v>
      </c>
      <c r="G133" s="387">
        <f t="shared" si="1"/>
        <v>99525.541499999992</v>
      </c>
      <c r="H133" s="388" t="s">
        <v>455</v>
      </c>
      <c r="I133" s="389"/>
    </row>
    <row r="134" spans="1:9" s="375" customFormat="1" ht="13" x14ac:dyDescent="0.3">
      <c r="A134" s="382">
        <v>601539</v>
      </c>
      <c r="B134" s="383" t="s">
        <v>1178</v>
      </c>
      <c r="C134" s="384">
        <v>206493.78</v>
      </c>
      <c r="D134" s="384">
        <v>68310</v>
      </c>
      <c r="E134" s="385">
        <v>274803.78000000003</v>
      </c>
      <c r="F134" s="386">
        <v>96181.323000000004</v>
      </c>
      <c r="G134" s="387">
        <f t="shared" si="1"/>
        <v>96181.323000000004</v>
      </c>
      <c r="H134" s="388" t="s">
        <v>455</v>
      </c>
      <c r="I134" s="389"/>
    </row>
    <row r="135" spans="1:9" s="375" customFormat="1" ht="13" x14ac:dyDescent="0.3">
      <c r="A135" s="382">
        <v>601698</v>
      </c>
      <c r="B135" s="383" t="s">
        <v>1177</v>
      </c>
      <c r="C135" s="384">
        <v>231444.17</v>
      </c>
      <c r="D135" s="384">
        <v>37136.54</v>
      </c>
      <c r="E135" s="385">
        <v>268580.71000000002</v>
      </c>
      <c r="F135" s="386">
        <v>94003.248500000002</v>
      </c>
      <c r="G135" s="387">
        <f t="shared" si="1"/>
        <v>94003.248500000002</v>
      </c>
      <c r="H135" s="388" t="s">
        <v>455</v>
      </c>
      <c r="I135" s="389"/>
    </row>
    <row r="136" spans="1:9" s="375" customFormat="1" ht="13" x14ac:dyDescent="0.3">
      <c r="A136" s="382">
        <v>601880</v>
      </c>
      <c r="B136" s="383" t="s">
        <v>1197</v>
      </c>
      <c r="C136" s="384">
        <v>162875.01999999999</v>
      </c>
      <c r="D136" s="384">
        <v>97595.67</v>
      </c>
      <c r="E136" s="385">
        <v>260470.69</v>
      </c>
      <c r="F136" s="386">
        <v>91164.741499999989</v>
      </c>
      <c r="G136" s="387">
        <f t="shared" si="1"/>
        <v>91164.741499999989</v>
      </c>
      <c r="H136" s="388" t="s">
        <v>455</v>
      </c>
      <c r="I136" s="389"/>
    </row>
    <row r="137" spans="1:9" s="375" customFormat="1" ht="13" x14ac:dyDescent="0.3">
      <c r="A137" s="382">
        <v>601892</v>
      </c>
      <c r="B137" s="383" t="s">
        <v>1180</v>
      </c>
      <c r="C137" s="384">
        <v>206738.07</v>
      </c>
      <c r="D137" s="384">
        <v>44538.259999999995</v>
      </c>
      <c r="E137" s="385">
        <v>251276.33000000002</v>
      </c>
      <c r="F137" s="386">
        <v>87946.715500000006</v>
      </c>
      <c r="G137" s="387">
        <f t="shared" si="1"/>
        <v>87946.715500000006</v>
      </c>
      <c r="H137" s="388" t="s">
        <v>455</v>
      </c>
      <c r="I137" s="389"/>
    </row>
    <row r="138" spans="1:9" s="375" customFormat="1" ht="13" x14ac:dyDescent="0.3">
      <c r="A138" s="382">
        <v>601985</v>
      </c>
      <c r="B138" s="383" t="s">
        <v>1181</v>
      </c>
      <c r="C138" s="384">
        <v>174592.57</v>
      </c>
      <c r="D138" s="384">
        <v>72208.989999999991</v>
      </c>
      <c r="E138" s="385">
        <v>246801.56</v>
      </c>
      <c r="F138" s="386">
        <v>86380.545999999988</v>
      </c>
      <c r="G138" s="387">
        <f t="shared" si="1"/>
        <v>86380.545999999988</v>
      </c>
      <c r="H138" s="388" t="s">
        <v>455</v>
      </c>
      <c r="I138" s="389"/>
    </row>
    <row r="139" spans="1:9" s="375" customFormat="1" ht="13" x14ac:dyDescent="0.3">
      <c r="A139" s="382">
        <v>601722</v>
      </c>
      <c r="B139" s="383" t="s">
        <v>1185</v>
      </c>
      <c r="C139" s="384">
        <v>234466.72</v>
      </c>
      <c r="D139" s="384">
        <v>7721.8600000000006</v>
      </c>
      <c r="E139" s="385">
        <v>242188.58000000002</v>
      </c>
      <c r="F139" s="386">
        <v>84766.002999999997</v>
      </c>
      <c r="G139" s="387">
        <f t="shared" si="1"/>
        <v>84766.002999999997</v>
      </c>
      <c r="H139" s="388" t="s">
        <v>455</v>
      </c>
      <c r="I139" s="389"/>
    </row>
    <row r="140" spans="1:9" s="375" customFormat="1" ht="13" x14ac:dyDescent="0.3">
      <c r="A140" s="382">
        <v>601751</v>
      </c>
      <c r="B140" s="383" t="s">
        <v>1215</v>
      </c>
      <c r="C140" s="384">
        <v>94176.85</v>
      </c>
      <c r="D140" s="384">
        <v>133415.56999999998</v>
      </c>
      <c r="E140" s="385">
        <v>227592.41999999998</v>
      </c>
      <c r="F140" s="386">
        <v>79657.346999999994</v>
      </c>
      <c r="G140" s="387">
        <f t="shared" si="1"/>
        <v>79657.346999999994</v>
      </c>
      <c r="H140" s="388" t="s">
        <v>455</v>
      </c>
      <c r="I140" s="389"/>
    </row>
    <row r="141" spans="1:9" s="375" customFormat="1" ht="13" x14ac:dyDescent="0.3">
      <c r="A141" s="382">
        <v>601888</v>
      </c>
      <c r="B141" s="383" t="s">
        <v>1189</v>
      </c>
      <c r="C141" s="384">
        <v>180672.11</v>
      </c>
      <c r="D141" s="384">
        <v>36744.36</v>
      </c>
      <c r="E141" s="385">
        <v>217416.46999999997</v>
      </c>
      <c r="F141" s="386">
        <v>76095.76449999999</v>
      </c>
      <c r="G141" s="387">
        <f t="shared" si="1"/>
        <v>76095.76449999999</v>
      </c>
      <c r="H141" s="388" t="s">
        <v>455</v>
      </c>
      <c r="I141" s="389"/>
    </row>
    <row r="142" spans="1:9" s="375" customFormat="1" ht="13" x14ac:dyDescent="0.3">
      <c r="A142" s="382">
        <v>601721</v>
      </c>
      <c r="B142" s="383" t="s">
        <v>1204</v>
      </c>
      <c r="C142" s="384">
        <v>144221.34</v>
      </c>
      <c r="D142" s="384">
        <v>72782.38</v>
      </c>
      <c r="E142" s="385">
        <v>217003.72</v>
      </c>
      <c r="F142" s="386">
        <v>75951.301999999996</v>
      </c>
      <c r="G142" s="387">
        <f t="shared" si="1"/>
        <v>75951.301999999996</v>
      </c>
      <c r="H142" s="388" t="s">
        <v>455</v>
      </c>
      <c r="I142" s="389"/>
    </row>
    <row r="143" spans="1:9" s="375" customFormat="1" ht="13" x14ac:dyDescent="0.3">
      <c r="A143" s="382">
        <v>601990</v>
      </c>
      <c r="B143" s="383" t="s">
        <v>1183</v>
      </c>
      <c r="C143" s="384">
        <v>177697.9</v>
      </c>
      <c r="D143" s="384">
        <v>38205.08</v>
      </c>
      <c r="E143" s="385">
        <v>215902.97999999998</v>
      </c>
      <c r="F143" s="386">
        <v>75566.042999999991</v>
      </c>
      <c r="G143" s="387">
        <f t="shared" si="1"/>
        <v>75566.042999999991</v>
      </c>
      <c r="H143" s="388" t="s">
        <v>455</v>
      </c>
      <c r="I143" s="389"/>
    </row>
    <row r="144" spans="1:9" s="375" customFormat="1" ht="13" x14ac:dyDescent="0.3">
      <c r="A144" s="382">
        <v>601796</v>
      </c>
      <c r="B144" s="383" t="s">
        <v>1194</v>
      </c>
      <c r="C144" s="384">
        <v>153144.91</v>
      </c>
      <c r="D144" s="384">
        <v>55106.43</v>
      </c>
      <c r="E144" s="385">
        <v>208251.34</v>
      </c>
      <c r="F144" s="386">
        <v>72887.968999999997</v>
      </c>
      <c r="G144" s="387">
        <f t="shared" si="1"/>
        <v>72887.968999999997</v>
      </c>
      <c r="H144" s="388" t="s">
        <v>455</v>
      </c>
      <c r="I144" s="389"/>
    </row>
    <row r="145" spans="1:9" s="375" customFormat="1" ht="13" x14ac:dyDescent="0.3">
      <c r="A145" s="382">
        <v>601716</v>
      </c>
      <c r="B145" s="383" t="s">
        <v>1187</v>
      </c>
      <c r="C145" s="384">
        <v>159192.98000000001</v>
      </c>
      <c r="D145" s="384">
        <v>47429.700000000004</v>
      </c>
      <c r="E145" s="385">
        <v>206622.68000000002</v>
      </c>
      <c r="F145" s="386">
        <v>72317.938000000009</v>
      </c>
      <c r="G145" s="387">
        <f t="shared" si="1"/>
        <v>72317.938000000009</v>
      </c>
      <c r="H145" s="388" t="s">
        <v>455</v>
      </c>
      <c r="I145" s="389"/>
    </row>
    <row r="146" spans="1:9" s="375" customFormat="1" ht="13" x14ac:dyDescent="0.3">
      <c r="A146" s="382">
        <v>601620</v>
      </c>
      <c r="B146" s="383" t="s">
        <v>1190</v>
      </c>
      <c r="C146" s="384">
        <v>148323.74</v>
      </c>
      <c r="D146" s="384">
        <v>58171.06</v>
      </c>
      <c r="E146" s="385">
        <v>206494.8</v>
      </c>
      <c r="F146" s="386">
        <v>72273.179999999993</v>
      </c>
      <c r="G146" s="387">
        <f t="shared" ref="G146:G209" si="2">E146*0.35</f>
        <v>72273.179999999993</v>
      </c>
      <c r="H146" s="388" t="s">
        <v>455</v>
      </c>
      <c r="I146" s="389"/>
    </row>
    <row r="147" spans="1:9" s="375" customFormat="1" ht="13" x14ac:dyDescent="0.3">
      <c r="A147" s="382">
        <v>601689</v>
      </c>
      <c r="B147" s="383" t="s">
        <v>1192</v>
      </c>
      <c r="C147" s="384">
        <v>147115.07999999999</v>
      </c>
      <c r="D147" s="384">
        <v>54670.22</v>
      </c>
      <c r="E147" s="385">
        <v>201785.3</v>
      </c>
      <c r="F147" s="386">
        <v>70624.854999999996</v>
      </c>
      <c r="G147" s="387">
        <f t="shared" si="2"/>
        <v>70624.854999999996</v>
      </c>
      <c r="H147" s="388" t="s">
        <v>455</v>
      </c>
      <c r="I147" s="389"/>
    </row>
    <row r="148" spans="1:9" s="375" customFormat="1" ht="13" x14ac:dyDescent="0.3">
      <c r="A148" s="382">
        <v>601878</v>
      </c>
      <c r="B148" s="383" t="s">
        <v>1186</v>
      </c>
      <c r="C148" s="384">
        <v>185090.49</v>
      </c>
      <c r="D148" s="384">
        <v>15720.84</v>
      </c>
      <c r="E148" s="385">
        <v>200811.33</v>
      </c>
      <c r="F148" s="386">
        <v>70283.965499999991</v>
      </c>
      <c r="G148" s="387">
        <f t="shared" si="2"/>
        <v>70283.965499999991</v>
      </c>
      <c r="H148" s="388" t="s">
        <v>455</v>
      </c>
      <c r="I148" s="389"/>
    </row>
    <row r="149" spans="1:9" s="375" customFormat="1" ht="13" x14ac:dyDescent="0.3">
      <c r="A149" s="382">
        <v>601650</v>
      </c>
      <c r="B149" s="383" t="s">
        <v>1200</v>
      </c>
      <c r="C149" s="384">
        <v>155113.53</v>
      </c>
      <c r="D149" s="384">
        <v>44886.400000000001</v>
      </c>
      <c r="E149" s="385">
        <v>199999.93</v>
      </c>
      <c r="F149" s="386">
        <v>69999.975499999986</v>
      </c>
      <c r="G149" s="387">
        <f t="shared" si="2"/>
        <v>69999.975499999986</v>
      </c>
      <c r="H149" s="388" t="s">
        <v>455</v>
      </c>
      <c r="I149" s="389"/>
    </row>
    <row r="150" spans="1:9" s="375" customFormat="1" ht="13" x14ac:dyDescent="0.3">
      <c r="A150" s="382">
        <v>601719</v>
      </c>
      <c r="B150" s="383" t="s">
        <v>1196</v>
      </c>
      <c r="C150" s="384">
        <v>155453.14000000001</v>
      </c>
      <c r="D150" s="384">
        <v>44537.15</v>
      </c>
      <c r="E150" s="385">
        <v>199990.29</v>
      </c>
      <c r="F150" s="386">
        <v>69996.601500000004</v>
      </c>
      <c r="G150" s="387">
        <f t="shared" si="2"/>
        <v>69996.601500000004</v>
      </c>
      <c r="H150" s="388" t="s">
        <v>455</v>
      </c>
      <c r="I150" s="389"/>
    </row>
    <row r="151" spans="1:9" s="375" customFormat="1" ht="13" x14ac:dyDescent="0.3">
      <c r="A151" s="382">
        <v>601688</v>
      </c>
      <c r="B151" s="383" t="s">
        <v>1188</v>
      </c>
      <c r="C151" s="384">
        <v>168628.05</v>
      </c>
      <c r="D151" s="384">
        <v>30845.42</v>
      </c>
      <c r="E151" s="385">
        <v>199473.46999999997</v>
      </c>
      <c r="F151" s="386">
        <v>69815.714499999987</v>
      </c>
      <c r="G151" s="387">
        <f t="shared" si="2"/>
        <v>69815.714499999987</v>
      </c>
      <c r="H151" s="388" t="s">
        <v>455</v>
      </c>
      <c r="I151" s="389"/>
    </row>
    <row r="152" spans="1:9" s="375" customFormat="1" ht="13" x14ac:dyDescent="0.3">
      <c r="A152" s="382">
        <v>601577</v>
      </c>
      <c r="B152" s="383" t="s">
        <v>1182</v>
      </c>
      <c r="C152" s="384">
        <v>168703.44</v>
      </c>
      <c r="D152" s="384">
        <v>26895.449999999997</v>
      </c>
      <c r="E152" s="385">
        <v>195598.89</v>
      </c>
      <c r="F152" s="386">
        <v>68459.611499999999</v>
      </c>
      <c r="G152" s="387">
        <f t="shared" si="2"/>
        <v>68459.611499999999</v>
      </c>
      <c r="H152" s="388" t="s">
        <v>455</v>
      </c>
      <c r="I152" s="389"/>
    </row>
    <row r="153" spans="1:9" s="375" customFormat="1" ht="13" x14ac:dyDescent="0.3">
      <c r="A153" s="382">
        <v>601621</v>
      </c>
      <c r="B153" s="383" t="s">
        <v>1198</v>
      </c>
      <c r="C153" s="384">
        <v>142329.38</v>
      </c>
      <c r="D153" s="384">
        <v>48563.25</v>
      </c>
      <c r="E153" s="385">
        <v>190892.63</v>
      </c>
      <c r="F153" s="386">
        <v>66812.420499999993</v>
      </c>
      <c r="G153" s="387">
        <f t="shared" si="2"/>
        <v>66812.420499999993</v>
      </c>
      <c r="H153" s="388" t="s">
        <v>455</v>
      </c>
      <c r="I153" s="389"/>
    </row>
    <row r="154" spans="1:9" s="375" customFormat="1" ht="13" x14ac:dyDescent="0.3">
      <c r="A154" s="382">
        <v>601677</v>
      </c>
      <c r="B154" s="383" t="s">
        <v>1184</v>
      </c>
      <c r="C154" s="384">
        <v>177722.05</v>
      </c>
      <c r="D154" s="384">
        <v>8526.23</v>
      </c>
      <c r="E154" s="385">
        <v>186248.28</v>
      </c>
      <c r="F154" s="386">
        <v>65186.897999999994</v>
      </c>
      <c r="G154" s="387">
        <f t="shared" si="2"/>
        <v>65186.897999999994</v>
      </c>
      <c r="H154" s="388" t="s">
        <v>455</v>
      </c>
      <c r="I154" s="389"/>
    </row>
    <row r="155" spans="1:9" s="375" customFormat="1" ht="13" x14ac:dyDescent="0.3">
      <c r="A155" s="382">
        <v>601821</v>
      </c>
      <c r="B155" s="383" t="s">
        <v>1193</v>
      </c>
      <c r="C155" s="384">
        <v>164668.65</v>
      </c>
      <c r="D155" s="384">
        <v>20753.34</v>
      </c>
      <c r="E155" s="385">
        <v>185421.99</v>
      </c>
      <c r="F155" s="386">
        <v>64897.696499999991</v>
      </c>
      <c r="G155" s="387">
        <f t="shared" si="2"/>
        <v>64897.696499999991</v>
      </c>
      <c r="H155" s="388" t="s">
        <v>455</v>
      </c>
      <c r="I155" s="389"/>
    </row>
    <row r="156" spans="1:9" s="375" customFormat="1" ht="13" x14ac:dyDescent="0.3">
      <c r="A156" s="382">
        <v>601746</v>
      </c>
      <c r="B156" s="383" t="s">
        <v>1195</v>
      </c>
      <c r="C156" s="384">
        <v>145084.29</v>
      </c>
      <c r="D156" s="384">
        <v>33294.639999999999</v>
      </c>
      <c r="E156" s="385">
        <v>178378.93</v>
      </c>
      <c r="F156" s="386">
        <v>62432.625499999995</v>
      </c>
      <c r="G156" s="387">
        <f t="shared" si="2"/>
        <v>62432.625499999995</v>
      </c>
      <c r="H156" s="388" t="s">
        <v>455</v>
      </c>
      <c r="I156" s="389"/>
    </row>
    <row r="157" spans="1:9" s="375" customFormat="1" ht="13" x14ac:dyDescent="0.3">
      <c r="A157" s="382">
        <v>601779</v>
      </c>
      <c r="B157" s="383" t="s">
        <v>1191</v>
      </c>
      <c r="C157" s="384">
        <v>172165.2</v>
      </c>
      <c r="D157" s="384">
        <v>4158.08</v>
      </c>
      <c r="E157" s="385">
        <v>176323.28</v>
      </c>
      <c r="F157" s="386">
        <v>61713.147999999994</v>
      </c>
      <c r="G157" s="387">
        <f t="shared" si="2"/>
        <v>61713.147999999994</v>
      </c>
      <c r="H157" s="388" t="s">
        <v>455</v>
      </c>
      <c r="I157" s="389"/>
    </row>
    <row r="158" spans="1:9" s="375" customFormat="1" ht="13" x14ac:dyDescent="0.3">
      <c r="A158" s="382">
        <v>601691</v>
      </c>
      <c r="B158" s="383" t="s">
        <v>1203</v>
      </c>
      <c r="C158" s="384">
        <v>131052.81</v>
      </c>
      <c r="D158" s="384">
        <v>36904.44</v>
      </c>
      <c r="E158" s="385">
        <v>167957.25</v>
      </c>
      <c r="F158" s="386">
        <v>58785.037499999999</v>
      </c>
      <c r="G158" s="387">
        <f t="shared" si="2"/>
        <v>58785.037499999999</v>
      </c>
      <c r="H158" s="388" t="s">
        <v>455</v>
      </c>
      <c r="I158" s="389"/>
    </row>
    <row r="159" spans="1:9" s="375" customFormat="1" ht="13" x14ac:dyDescent="0.3">
      <c r="A159" s="382">
        <v>601579</v>
      </c>
      <c r="B159" s="383" t="s">
        <v>1202</v>
      </c>
      <c r="C159" s="384">
        <v>134508.76</v>
      </c>
      <c r="D159" s="384">
        <v>28771.37</v>
      </c>
      <c r="E159" s="385">
        <v>163280.13</v>
      </c>
      <c r="F159" s="386">
        <v>57148.0455</v>
      </c>
      <c r="G159" s="387">
        <f t="shared" si="2"/>
        <v>57148.0455</v>
      </c>
      <c r="H159" s="388" t="s">
        <v>455</v>
      </c>
      <c r="I159" s="389"/>
    </row>
    <row r="160" spans="1:9" s="375" customFormat="1" ht="13" x14ac:dyDescent="0.3">
      <c r="A160" s="382">
        <v>601987</v>
      </c>
      <c r="B160" s="383" t="s">
        <v>1199</v>
      </c>
      <c r="C160" s="384">
        <v>146048.06</v>
      </c>
      <c r="D160" s="384">
        <v>15323.66</v>
      </c>
      <c r="E160" s="385">
        <v>161371.72</v>
      </c>
      <c r="F160" s="386">
        <v>56480.101999999999</v>
      </c>
      <c r="G160" s="387">
        <f t="shared" si="2"/>
        <v>56480.101999999999</v>
      </c>
      <c r="H160" s="388" t="s">
        <v>455</v>
      </c>
      <c r="I160" s="389"/>
    </row>
    <row r="161" spans="1:9" s="375" customFormat="1" ht="13" x14ac:dyDescent="0.3">
      <c r="A161" s="382">
        <v>601565</v>
      </c>
      <c r="B161" s="383" t="s">
        <v>1201</v>
      </c>
      <c r="C161" s="384">
        <v>121662.25</v>
      </c>
      <c r="D161" s="384">
        <v>33714.85</v>
      </c>
      <c r="E161" s="385">
        <v>155377.1</v>
      </c>
      <c r="F161" s="386">
        <v>54381.985000000001</v>
      </c>
      <c r="G161" s="387">
        <f t="shared" si="2"/>
        <v>54381.985000000001</v>
      </c>
      <c r="H161" s="388" t="s">
        <v>455</v>
      </c>
      <c r="I161" s="389"/>
    </row>
    <row r="162" spans="1:9" s="375" customFormat="1" ht="13" x14ac:dyDescent="0.3">
      <c r="A162" s="382">
        <v>601505</v>
      </c>
      <c r="B162" s="383" t="s">
        <v>1205</v>
      </c>
      <c r="C162" s="384">
        <v>116929.97</v>
      </c>
      <c r="D162" s="384">
        <v>34450.119999999995</v>
      </c>
      <c r="E162" s="385">
        <v>151380.09</v>
      </c>
      <c r="F162" s="386">
        <v>52983.031499999997</v>
      </c>
      <c r="G162" s="387">
        <f t="shared" si="2"/>
        <v>52983.031499999997</v>
      </c>
      <c r="H162" s="388" t="s">
        <v>455</v>
      </c>
      <c r="I162" s="389"/>
    </row>
    <row r="163" spans="1:9" s="375" customFormat="1" ht="13" x14ac:dyDescent="0.3">
      <c r="A163" s="382">
        <v>601929</v>
      </c>
      <c r="B163" s="383" t="s">
        <v>1208</v>
      </c>
      <c r="C163" s="384">
        <v>89862.9</v>
      </c>
      <c r="D163" s="384">
        <v>51529.75</v>
      </c>
      <c r="E163" s="385">
        <v>141392.65</v>
      </c>
      <c r="F163" s="386">
        <v>49487.427499999998</v>
      </c>
      <c r="G163" s="387">
        <f t="shared" si="2"/>
        <v>49487.427499999998</v>
      </c>
      <c r="H163" s="388" t="s">
        <v>455</v>
      </c>
      <c r="I163" s="389"/>
    </row>
    <row r="164" spans="1:9" s="375" customFormat="1" ht="13" x14ac:dyDescent="0.3">
      <c r="A164" s="382">
        <v>601619</v>
      </c>
      <c r="B164" s="383" t="s">
        <v>1207</v>
      </c>
      <c r="C164" s="384">
        <v>103671.77</v>
      </c>
      <c r="D164" s="384">
        <v>29598.79</v>
      </c>
      <c r="E164" s="385">
        <v>133270.56</v>
      </c>
      <c r="F164" s="386">
        <v>46644.695999999996</v>
      </c>
      <c r="G164" s="387">
        <f t="shared" si="2"/>
        <v>46644.695999999996</v>
      </c>
      <c r="H164" s="388" t="s">
        <v>455</v>
      </c>
      <c r="I164" s="389"/>
    </row>
    <row r="165" spans="1:9" s="375" customFormat="1" ht="13" x14ac:dyDescent="0.3">
      <c r="A165" s="382">
        <v>601800</v>
      </c>
      <c r="B165" s="383" t="s">
        <v>456</v>
      </c>
      <c r="C165" s="384">
        <v>95223</v>
      </c>
      <c r="D165" s="384">
        <v>17975.96</v>
      </c>
      <c r="E165" s="385">
        <v>113198.95999999999</v>
      </c>
      <c r="F165" s="386">
        <v>39619.635999999991</v>
      </c>
      <c r="G165" s="387">
        <f t="shared" si="2"/>
        <v>39619.635999999991</v>
      </c>
      <c r="H165" s="388" t="s">
        <v>455</v>
      </c>
      <c r="I165" s="389"/>
    </row>
    <row r="166" spans="1:9" s="375" customFormat="1" ht="13" x14ac:dyDescent="0.3">
      <c r="A166" s="382">
        <v>601745</v>
      </c>
      <c r="B166" s="383" t="s">
        <v>1212</v>
      </c>
      <c r="C166" s="384">
        <v>65048.33</v>
      </c>
      <c r="D166" s="384">
        <v>30371.18</v>
      </c>
      <c r="E166" s="385">
        <v>95419.510000000009</v>
      </c>
      <c r="F166" s="386">
        <v>33396.828500000003</v>
      </c>
      <c r="G166" s="387">
        <f t="shared" si="2"/>
        <v>33396.828500000003</v>
      </c>
      <c r="H166" s="388" t="s">
        <v>455</v>
      </c>
      <c r="I166" s="389"/>
    </row>
    <row r="167" spans="1:9" s="375" customFormat="1" ht="13" x14ac:dyDescent="0.3">
      <c r="A167" s="382">
        <v>601768</v>
      </c>
      <c r="B167" s="383" t="s">
        <v>1217</v>
      </c>
      <c r="C167" s="384">
        <v>53199.13</v>
      </c>
      <c r="D167" s="384">
        <v>38827.410000000003</v>
      </c>
      <c r="E167" s="385">
        <v>92026.540000000008</v>
      </c>
      <c r="F167" s="386">
        <v>32209.289000000001</v>
      </c>
      <c r="G167" s="387">
        <f t="shared" si="2"/>
        <v>32209.289000000001</v>
      </c>
      <c r="H167" s="388" t="s">
        <v>455</v>
      </c>
      <c r="I167" s="389"/>
    </row>
    <row r="168" spans="1:9" s="375" customFormat="1" ht="13" x14ac:dyDescent="0.3">
      <c r="A168" s="382">
        <v>601738</v>
      </c>
      <c r="B168" s="383" t="s">
        <v>1211</v>
      </c>
      <c r="C168" s="384">
        <v>68148.259999999995</v>
      </c>
      <c r="D168" s="384">
        <v>17644.82</v>
      </c>
      <c r="E168" s="385">
        <v>85793.079999999987</v>
      </c>
      <c r="F168" s="386">
        <v>30027.577999999994</v>
      </c>
      <c r="G168" s="387">
        <f t="shared" si="2"/>
        <v>30027.577999999994</v>
      </c>
      <c r="H168" s="388" t="s">
        <v>455</v>
      </c>
      <c r="I168" s="389"/>
    </row>
    <row r="169" spans="1:9" s="375" customFormat="1" ht="13" x14ac:dyDescent="0.3">
      <c r="A169" s="382">
        <v>601723</v>
      </c>
      <c r="B169" s="383" t="s">
        <v>1209</v>
      </c>
      <c r="C169" s="384">
        <v>75415.710000000006</v>
      </c>
      <c r="D169" s="384">
        <v>1322.66</v>
      </c>
      <c r="E169" s="385">
        <v>76738.37000000001</v>
      </c>
      <c r="F169" s="386">
        <v>26858.429500000002</v>
      </c>
      <c r="G169" s="387">
        <f t="shared" si="2"/>
        <v>26858.429500000002</v>
      </c>
      <c r="H169" s="388" t="s">
        <v>455</v>
      </c>
      <c r="I169" s="389"/>
    </row>
    <row r="170" spans="1:9" s="375" customFormat="1" ht="13" x14ac:dyDescent="0.3">
      <c r="A170" s="382">
        <v>601708</v>
      </c>
      <c r="B170" s="383" t="s">
        <v>1213</v>
      </c>
      <c r="C170" s="384">
        <v>73464.42</v>
      </c>
      <c r="D170" s="384">
        <v>1644.82</v>
      </c>
      <c r="E170" s="385">
        <v>75109.240000000005</v>
      </c>
      <c r="F170" s="386">
        <v>26288.234</v>
      </c>
      <c r="G170" s="387">
        <f t="shared" si="2"/>
        <v>26288.234</v>
      </c>
      <c r="H170" s="388" t="s">
        <v>455</v>
      </c>
      <c r="I170" s="389"/>
    </row>
    <row r="171" spans="1:9" s="375" customFormat="1" ht="13" x14ac:dyDescent="0.3">
      <c r="A171" s="382">
        <v>601547</v>
      </c>
      <c r="B171" s="383" t="s">
        <v>1218</v>
      </c>
      <c r="C171" s="384">
        <v>39085.78</v>
      </c>
      <c r="D171" s="384">
        <v>32904.450000000004</v>
      </c>
      <c r="E171" s="385">
        <v>71990.23000000001</v>
      </c>
      <c r="F171" s="386">
        <v>25196.580500000004</v>
      </c>
      <c r="G171" s="387">
        <f t="shared" si="2"/>
        <v>25196.580500000004</v>
      </c>
      <c r="H171" s="388" t="s">
        <v>455</v>
      </c>
      <c r="I171" s="389"/>
    </row>
    <row r="172" spans="1:9" s="375" customFormat="1" ht="13" x14ac:dyDescent="0.3">
      <c r="A172" s="382">
        <v>601780</v>
      </c>
      <c r="B172" s="383" t="s">
        <v>1214</v>
      </c>
      <c r="C172" s="384">
        <v>57283.5</v>
      </c>
      <c r="D172" s="384">
        <v>9411.6</v>
      </c>
      <c r="E172" s="385">
        <v>66695.100000000006</v>
      </c>
      <c r="F172" s="386">
        <v>23343.285</v>
      </c>
      <c r="G172" s="387">
        <f t="shared" si="2"/>
        <v>23343.285</v>
      </c>
      <c r="H172" s="388" t="s">
        <v>455</v>
      </c>
      <c r="I172" s="389"/>
    </row>
    <row r="173" spans="1:9" s="375" customFormat="1" ht="13" x14ac:dyDescent="0.3">
      <c r="A173" s="382">
        <v>601764</v>
      </c>
      <c r="B173" s="383" t="s">
        <v>1216</v>
      </c>
      <c r="C173" s="384">
        <v>40947.199999999997</v>
      </c>
      <c r="D173" s="384">
        <v>18527.260000000002</v>
      </c>
      <c r="E173" s="385">
        <v>59474.46</v>
      </c>
      <c r="F173" s="386">
        <v>20816.060999999998</v>
      </c>
      <c r="G173" s="387">
        <f t="shared" si="2"/>
        <v>20816.060999999998</v>
      </c>
      <c r="H173" s="388" t="s">
        <v>455</v>
      </c>
      <c r="I173" s="389"/>
    </row>
    <row r="174" spans="1:9" s="375" customFormat="1" ht="13" x14ac:dyDescent="0.3">
      <c r="A174" s="382">
        <v>601710</v>
      </c>
      <c r="B174" s="383" t="s">
        <v>1210</v>
      </c>
      <c r="C174" s="384">
        <v>40524.11</v>
      </c>
      <c r="D174" s="384">
        <v>18677.330000000002</v>
      </c>
      <c r="E174" s="385">
        <v>59201.440000000002</v>
      </c>
      <c r="F174" s="386">
        <v>20720.504000000001</v>
      </c>
      <c r="G174" s="387">
        <f t="shared" si="2"/>
        <v>20720.504000000001</v>
      </c>
      <c r="H174" s="388" t="s">
        <v>455</v>
      </c>
      <c r="I174" s="389"/>
    </row>
    <row r="175" spans="1:9" s="375" customFormat="1" ht="13" x14ac:dyDescent="0.3">
      <c r="A175" s="382">
        <v>601980</v>
      </c>
      <c r="B175" s="383" t="s">
        <v>1221</v>
      </c>
      <c r="C175" s="384">
        <v>39547.839999999997</v>
      </c>
      <c r="D175" s="384">
        <v>12036.02</v>
      </c>
      <c r="E175" s="385">
        <v>51583.86</v>
      </c>
      <c r="F175" s="386">
        <v>18054.350999999999</v>
      </c>
      <c r="G175" s="387">
        <f t="shared" si="2"/>
        <v>18054.350999999999</v>
      </c>
      <c r="H175" s="388" t="s">
        <v>455</v>
      </c>
      <c r="I175" s="389"/>
    </row>
    <row r="176" spans="1:9" s="375" customFormat="1" ht="13" x14ac:dyDescent="0.3">
      <c r="A176" s="382">
        <v>601509</v>
      </c>
      <c r="B176" s="383" t="s">
        <v>1220</v>
      </c>
      <c r="C176" s="384">
        <v>47805.29</v>
      </c>
      <c r="D176" s="384">
        <v>1263.5899999999999</v>
      </c>
      <c r="E176" s="385">
        <v>49068.88</v>
      </c>
      <c r="F176" s="386">
        <v>17174.107999999997</v>
      </c>
      <c r="G176" s="387">
        <f t="shared" si="2"/>
        <v>17174.107999999997</v>
      </c>
      <c r="H176" s="388" t="s">
        <v>455</v>
      </c>
      <c r="I176" s="389"/>
    </row>
    <row r="177" spans="1:9" s="375" customFormat="1" ht="13" x14ac:dyDescent="0.3">
      <c r="A177" s="382">
        <v>601727</v>
      </c>
      <c r="B177" s="383" t="s">
        <v>1219</v>
      </c>
      <c r="C177" s="384">
        <v>41732.35</v>
      </c>
      <c r="D177" s="384">
        <v>1040.52</v>
      </c>
      <c r="E177" s="385">
        <v>42772.869999999995</v>
      </c>
      <c r="F177" s="386">
        <v>14970.504499999997</v>
      </c>
      <c r="G177" s="387">
        <f t="shared" si="2"/>
        <v>14970.504499999997</v>
      </c>
      <c r="H177" s="388" t="s">
        <v>455</v>
      </c>
      <c r="I177" s="389"/>
    </row>
    <row r="178" spans="1:9" s="375" customFormat="1" ht="13" x14ac:dyDescent="0.3">
      <c r="A178" s="382">
        <v>601790</v>
      </c>
      <c r="B178" s="383" t="s">
        <v>1224</v>
      </c>
      <c r="C178" s="384">
        <v>21523.15</v>
      </c>
      <c r="D178" s="384">
        <v>6885.44</v>
      </c>
      <c r="E178" s="385">
        <v>28408.59</v>
      </c>
      <c r="F178" s="386">
        <v>9943.0064999999995</v>
      </c>
      <c r="G178" s="387">
        <f t="shared" si="2"/>
        <v>9943.0064999999995</v>
      </c>
      <c r="H178" s="388" t="s">
        <v>455</v>
      </c>
      <c r="I178" s="389"/>
    </row>
    <row r="179" spans="1:9" s="375" customFormat="1" ht="13" x14ac:dyDescent="0.3">
      <c r="A179" s="382">
        <v>601740</v>
      </c>
      <c r="B179" s="383" t="s">
        <v>1222</v>
      </c>
      <c r="C179" s="384">
        <v>20636.12</v>
      </c>
      <c r="D179" s="384">
        <v>7611.8</v>
      </c>
      <c r="E179" s="385">
        <v>28247.919999999998</v>
      </c>
      <c r="F179" s="386">
        <v>9886.771999999999</v>
      </c>
      <c r="G179" s="387">
        <f t="shared" si="2"/>
        <v>9886.771999999999</v>
      </c>
      <c r="H179" s="388" t="s">
        <v>455</v>
      </c>
      <c r="I179" s="389"/>
    </row>
    <row r="180" spans="1:9" s="375" customFormat="1" ht="13" x14ac:dyDescent="0.3">
      <c r="A180" s="382">
        <v>601989</v>
      </c>
      <c r="B180" s="383" t="s">
        <v>1225</v>
      </c>
      <c r="C180" s="384">
        <v>20104.669999999998</v>
      </c>
      <c r="D180" s="384">
        <v>4140.07</v>
      </c>
      <c r="E180" s="385">
        <v>24244.739999999998</v>
      </c>
      <c r="F180" s="386">
        <v>8485.6589999999997</v>
      </c>
      <c r="G180" s="387">
        <f t="shared" si="2"/>
        <v>8485.6589999999997</v>
      </c>
      <c r="H180" s="388" t="s">
        <v>455</v>
      </c>
      <c r="I180" s="389"/>
    </row>
    <row r="181" spans="1:9" s="375" customFormat="1" ht="13" x14ac:dyDescent="0.3">
      <c r="A181" s="382">
        <v>601520</v>
      </c>
      <c r="B181" s="383" t="s">
        <v>1223</v>
      </c>
      <c r="C181" s="384">
        <v>20123.21</v>
      </c>
      <c r="D181" s="384">
        <v>856.43</v>
      </c>
      <c r="E181" s="385">
        <v>20979.64</v>
      </c>
      <c r="F181" s="386">
        <v>7342.8739999999989</v>
      </c>
      <c r="G181" s="387">
        <f t="shared" si="2"/>
        <v>7342.8739999999989</v>
      </c>
      <c r="H181" s="388" t="s">
        <v>455</v>
      </c>
      <c r="I181" s="389"/>
    </row>
    <row r="182" spans="1:9" s="375" customFormat="1" ht="13" x14ac:dyDescent="0.3">
      <c r="A182" s="382">
        <v>601667</v>
      </c>
      <c r="B182" s="383" t="s">
        <v>1226</v>
      </c>
      <c r="C182" s="384">
        <v>9772.35</v>
      </c>
      <c r="D182" s="384">
        <v>304.14999999999998</v>
      </c>
      <c r="E182" s="385">
        <v>10076.5</v>
      </c>
      <c r="F182" s="386">
        <v>3526.7749999999996</v>
      </c>
      <c r="G182" s="387">
        <f t="shared" si="2"/>
        <v>3526.7749999999996</v>
      </c>
      <c r="H182" s="388" t="s">
        <v>455</v>
      </c>
      <c r="I182" s="389"/>
    </row>
    <row r="183" spans="1:9" s="375" customFormat="1" ht="13" x14ac:dyDescent="0.3">
      <c r="A183" s="382">
        <v>601951</v>
      </c>
      <c r="B183" s="383" t="s">
        <v>1227</v>
      </c>
      <c r="C183" s="384">
        <v>5890.39</v>
      </c>
      <c r="D183" s="384">
        <v>1002.5</v>
      </c>
      <c r="E183" s="385">
        <v>6892.89</v>
      </c>
      <c r="F183" s="386">
        <v>2412.5115000000001</v>
      </c>
      <c r="G183" s="387">
        <f t="shared" si="2"/>
        <v>2412.5115000000001</v>
      </c>
      <c r="H183" s="388" t="s">
        <v>455</v>
      </c>
      <c r="I183" s="389"/>
    </row>
    <row r="184" spans="1:9" s="375" customFormat="1" ht="13" x14ac:dyDescent="0.3">
      <c r="A184" s="382">
        <v>601737</v>
      </c>
      <c r="B184" s="383" t="s">
        <v>1228</v>
      </c>
      <c r="C184" s="384">
        <v>4908.3999999999996</v>
      </c>
      <c r="D184" s="384">
        <v>78.040000000000006</v>
      </c>
      <c r="E184" s="385">
        <v>4986.4399999999996</v>
      </c>
      <c r="F184" s="386">
        <v>1745.2539999999997</v>
      </c>
      <c r="G184" s="387">
        <f t="shared" si="2"/>
        <v>1745.2539999999997</v>
      </c>
      <c r="H184" s="388" t="s">
        <v>455</v>
      </c>
      <c r="I184" s="389"/>
    </row>
    <row r="185" spans="1:9" s="375" customFormat="1" ht="13" x14ac:dyDescent="0.3">
      <c r="A185" s="382">
        <v>601594</v>
      </c>
      <c r="B185" s="383" t="s">
        <v>1233</v>
      </c>
      <c r="C185" s="384">
        <v>1720.97</v>
      </c>
      <c r="D185" s="384">
        <v>1926.96</v>
      </c>
      <c r="E185" s="385">
        <v>3647.9300000000003</v>
      </c>
      <c r="F185" s="386">
        <v>1276.7755</v>
      </c>
      <c r="G185" s="387">
        <f t="shared" si="2"/>
        <v>1276.7755</v>
      </c>
      <c r="H185" s="388" t="s">
        <v>455</v>
      </c>
      <c r="I185" s="389"/>
    </row>
    <row r="186" spans="1:9" s="375" customFormat="1" ht="13" x14ac:dyDescent="0.3">
      <c r="A186" s="382">
        <v>601749</v>
      </c>
      <c r="B186" s="383" t="s">
        <v>1231</v>
      </c>
      <c r="C186" s="384">
        <v>1805.47</v>
      </c>
      <c r="D186" s="384">
        <v>840.42</v>
      </c>
      <c r="E186" s="385">
        <v>2645.89</v>
      </c>
      <c r="F186" s="386">
        <v>926.06149999999991</v>
      </c>
      <c r="G186" s="387">
        <f t="shared" si="2"/>
        <v>926.06149999999991</v>
      </c>
      <c r="H186" s="388" t="s">
        <v>455</v>
      </c>
      <c r="I186" s="389"/>
    </row>
    <row r="187" spans="1:9" s="375" customFormat="1" ht="13" x14ac:dyDescent="0.3">
      <c r="A187" s="382">
        <v>601758</v>
      </c>
      <c r="B187" s="383" t="s">
        <v>1229</v>
      </c>
      <c r="C187" s="384">
        <v>830.98</v>
      </c>
      <c r="D187" s="384">
        <v>1404.7</v>
      </c>
      <c r="E187" s="385">
        <v>2235.6800000000003</v>
      </c>
      <c r="F187" s="386">
        <v>782.48800000000006</v>
      </c>
      <c r="G187" s="387">
        <f t="shared" si="2"/>
        <v>782.48800000000006</v>
      </c>
      <c r="H187" s="388" t="s">
        <v>455</v>
      </c>
      <c r="I187" s="389"/>
    </row>
    <row r="188" spans="1:9" s="375" customFormat="1" ht="13" x14ac:dyDescent="0.3">
      <c r="A188" s="382">
        <v>601982</v>
      </c>
      <c r="B188" s="383" t="s">
        <v>1256</v>
      </c>
      <c r="C188" s="384">
        <v>94</v>
      </c>
      <c r="D188" s="384">
        <v>2071.0300000000002</v>
      </c>
      <c r="E188" s="385">
        <v>2165.0300000000002</v>
      </c>
      <c r="F188" s="386">
        <v>757.76049999999998</v>
      </c>
      <c r="G188" s="387">
        <f t="shared" si="2"/>
        <v>757.76049999999998</v>
      </c>
      <c r="H188" s="388" t="s">
        <v>455</v>
      </c>
      <c r="I188" s="389"/>
    </row>
    <row r="189" spans="1:9" s="375" customFormat="1" ht="13" x14ac:dyDescent="0.3">
      <c r="A189" s="382">
        <v>601809</v>
      </c>
      <c r="B189" s="383" t="s">
        <v>1230</v>
      </c>
      <c r="C189" s="384">
        <v>2086.98</v>
      </c>
      <c r="D189" s="384">
        <v>12.01</v>
      </c>
      <c r="E189" s="385">
        <v>2098.9900000000002</v>
      </c>
      <c r="F189" s="386">
        <v>734.64650000000006</v>
      </c>
      <c r="G189" s="387">
        <f t="shared" si="2"/>
        <v>734.64650000000006</v>
      </c>
      <c r="H189" s="388" t="s">
        <v>455</v>
      </c>
      <c r="I189" s="389"/>
    </row>
    <row r="190" spans="1:9" s="375" customFormat="1" ht="13" x14ac:dyDescent="0.3">
      <c r="A190" s="382">
        <v>601885</v>
      </c>
      <c r="B190" s="383" t="s">
        <v>1232</v>
      </c>
      <c r="C190" s="384">
        <v>1595.47</v>
      </c>
      <c r="D190" s="384">
        <v>36.020000000000003</v>
      </c>
      <c r="E190" s="385">
        <v>1631.49</v>
      </c>
      <c r="F190" s="386">
        <v>571.02149999999995</v>
      </c>
      <c r="G190" s="387">
        <f t="shared" si="2"/>
        <v>571.02149999999995</v>
      </c>
      <c r="H190" s="388" t="s">
        <v>455</v>
      </c>
      <c r="I190" s="389"/>
    </row>
    <row r="191" spans="1:9" s="375" customFormat="1" ht="13" x14ac:dyDescent="0.3">
      <c r="A191" s="382">
        <v>601601</v>
      </c>
      <c r="B191" s="383" t="s">
        <v>1234</v>
      </c>
      <c r="C191" s="384">
        <v>597.49</v>
      </c>
      <c r="D191" s="384"/>
      <c r="E191" s="385">
        <v>597.49</v>
      </c>
      <c r="F191" s="386">
        <v>209.1215</v>
      </c>
      <c r="G191" s="387">
        <f t="shared" si="2"/>
        <v>209.1215</v>
      </c>
      <c r="H191" s="388" t="s">
        <v>455</v>
      </c>
      <c r="I191" s="389"/>
    </row>
    <row r="192" spans="1:9" s="375" customFormat="1" ht="13" x14ac:dyDescent="0.3">
      <c r="A192" s="382">
        <v>601899</v>
      </c>
      <c r="B192" s="383" t="s">
        <v>1235</v>
      </c>
      <c r="C192" s="384">
        <v>408.99</v>
      </c>
      <c r="D192" s="384">
        <v>6</v>
      </c>
      <c r="E192" s="385">
        <v>414.99</v>
      </c>
      <c r="F192" s="386">
        <v>145.2465</v>
      </c>
      <c r="G192" s="387">
        <f t="shared" si="2"/>
        <v>145.2465</v>
      </c>
      <c r="H192" s="388" t="s">
        <v>455</v>
      </c>
      <c r="I192" s="389"/>
    </row>
    <row r="193" spans="1:9" s="375" customFormat="1" ht="13" x14ac:dyDescent="0.3">
      <c r="A193" s="382">
        <v>601896</v>
      </c>
      <c r="B193" s="383" t="s">
        <v>1237</v>
      </c>
      <c r="C193" s="384">
        <v>97.5</v>
      </c>
      <c r="D193" s="384"/>
      <c r="E193" s="385">
        <v>97.5</v>
      </c>
      <c r="F193" s="386">
        <v>34.125</v>
      </c>
      <c r="G193" s="387">
        <f t="shared" si="2"/>
        <v>34.125</v>
      </c>
      <c r="H193" s="388" t="s">
        <v>455</v>
      </c>
      <c r="I193" s="389"/>
    </row>
    <row r="194" spans="1:9" s="375" customFormat="1" ht="13" x14ac:dyDescent="0.3">
      <c r="A194" s="382">
        <v>601777</v>
      </c>
      <c r="B194" s="383" t="s">
        <v>1238</v>
      </c>
      <c r="C194" s="384">
        <v>89</v>
      </c>
      <c r="D194" s="384"/>
      <c r="E194" s="385">
        <v>89</v>
      </c>
      <c r="F194" s="386">
        <v>31.15</v>
      </c>
      <c r="G194" s="387">
        <f t="shared" si="2"/>
        <v>31.15</v>
      </c>
      <c r="H194" s="388" t="s">
        <v>455</v>
      </c>
      <c r="I194" s="389"/>
    </row>
    <row r="195" spans="1:9" s="375" customFormat="1" ht="13" x14ac:dyDescent="0.3">
      <c r="A195" s="382">
        <v>601503</v>
      </c>
      <c r="B195" s="383" t="s">
        <v>1236</v>
      </c>
      <c r="C195" s="384">
        <v>55.5</v>
      </c>
      <c r="D195" s="384">
        <v>30.02</v>
      </c>
      <c r="E195" s="385">
        <v>85.52</v>
      </c>
      <c r="F195" s="386">
        <v>29.931999999999995</v>
      </c>
      <c r="G195" s="387">
        <f t="shared" si="2"/>
        <v>29.931999999999995</v>
      </c>
      <c r="H195" s="388" t="s">
        <v>455</v>
      </c>
      <c r="I195" s="389"/>
    </row>
    <row r="196" spans="1:9" s="375" customFormat="1" ht="13" x14ac:dyDescent="0.3">
      <c r="A196" s="382">
        <v>601705</v>
      </c>
      <c r="B196" s="383" t="s">
        <v>1241</v>
      </c>
      <c r="C196" s="384">
        <v>34</v>
      </c>
      <c r="D196" s="384">
        <v>6</v>
      </c>
      <c r="E196" s="385">
        <v>40</v>
      </c>
      <c r="F196" s="386">
        <v>14</v>
      </c>
      <c r="G196" s="387">
        <f t="shared" si="2"/>
        <v>14</v>
      </c>
      <c r="H196" s="388" t="s">
        <v>455</v>
      </c>
      <c r="I196" s="389"/>
    </row>
    <row r="197" spans="1:9" s="375" customFormat="1" ht="13" x14ac:dyDescent="0.3">
      <c r="A197" s="382">
        <v>601869</v>
      </c>
      <c r="B197" s="383" t="s">
        <v>1240</v>
      </c>
      <c r="C197" s="384">
        <v>31</v>
      </c>
      <c r="D197" s="384"/>
      <c r="E197" s="385">
        <v>31</v>
      </c>
      <c r="F197" s="386">
        <v>10.85</v>
      </c>
      <c r="G197" s="387">
        <f t="shared" si="2"/>
        <v>10.85</v>
      </c>
      <c r="H197" s="388" t="s">
        <v>455</v>
      </c>
      <c r="I197" s="389"/>
    </row>
    <row r="198" spans="1:9" s="375" customFormat="1" ht="13" x14ac:dyDescent="0.3">
      <c r="A198" s="382">
        <v>601946</v>
      </c>
      <c r="B198" s="383" t="s">
        <v>1239</v>
      </c>
      <c r="C198" s="384">
        <v>30.5</v>
      </c>
      <c r="D198" s="384"/>
      <c r="E198" s="385">
        <v>30.5</v>
      </c>
      <c r="F198" s="386">
        <v>10.674999999999999</v>
      </c>
      <c r="G198" s="387">
        <f t="shared" si="2"/>
        <v>10.674999999999999</v>
      </c>
      <c r="H198" s="388" t="s">
        <v>455</v>
      </c>
      <c r="I198" s="389"/>
    </row>
    <row r="199" spans="1:9" s="375" customFormat="1" ht="13" x14ac:dyDescent="0.3">
      <c r="A199" s="382">
        <v>601927</v>
      </c>
      <c r="B199" s="383" t="s">
        <v>1242</v>
      </c>
      <c r="C199" s="384">
        <v>14</v>
      </c>
      <c r="D199" s="384"/>
      <c r="E199" s="385">
        <v>14</v>
      </c>
      <c r="F199" s="386">
        <v>4.8999999999999995</v>
      </c>
      <c r="G199" s="387">
        <f t="shared" si="2"/>
        <v>4.8999999999999995</v>
      </c>
      <c r="H199" s="388" t="s">
        <v>455</v>
      </c>
      <c r="I199" s="389"/>
    </row>
    <row r="200" spans="1:9" s="375" customFormat="1" ht="13" x14ac:dyDescent="0.3">
      <c r="A200" s="382">
        <v>601604</v>
      </c>
      <c r="B200" s="383" t="s">
        <v>1247</v>
      </c>
      <c r="C200" s="384">
        <v>10</v>
      </c>
      <c r="D200" s="384"/>
      <c r="E200" s="385">
        <v>10</v>
      </c>
      <c r="F200" s="386">
        <v>3.5</v>
      </c>
      <c r="G200" s="387">
        <f t="shared" si="2"/>
        <v>3.5</v>
      </c>
      <c r="H200" s="388" t="s">
        <v>455</v>
      </c>
      <c r="I200" s="389"/>
    </row>
    <row r="201" spans="1:9" s="375" customFormat="1" ht="13" x14ac:dyDescent="0.3">
      <c r="A201" s="382">
        <v>601567</v>
      </c>
      <c r="B201" s="383" t="s">
        <v>1243</v>
      </c>
      <c r="C201" s="384"/>
      <c r="D201" s="384"/>
      <c r="E201" s="385">
        <v>0</v>
      </c>
      <c r="F201" s="386">
        <v>0</v>
      </c>
      <c r="G201" s="387">
        <f t="shared" si="2"/>
        <v>0</v>
      </c>
      <c r="H201" s="388" t="s">
        <v>455</v>
      </c>
      <c r="I201" s="389"/>
    </row>
    <row r="202" spans="1:9" s="375" customFormat="1" ht="13" x14ac:dyDescent="0.3">
      <c r="A202" s="382">
        <v>601631</v>
      </c>
      <c r="B202" s="383" t="s">
        <v>1244</v>
      </c>
      <c r="C202" s="384"/>
      <c r="D202" s="384"/>
      <c r="E202" s="385">
        <v>0</v>
      </c>
      <c r="F202" s="386">
        <v>0</v>
      </c>
      <c r="G202" s="387">
        <f t="shared" si="2"/>
        <v>0</v>
      </c>
      <c r="H202" s="388" t="s">
        <v>455</v>
      </c>
      <c r="I202" s="389"/>
    </row>
    <row r="203" spans="1:9" s="375" customFormat="1" ht="13" x14ac:dyDescent="0.3">
      <c r="A203" s="382">
        <v>601852</v>
      </c>
      <c r="B203" s="383" t="s">
        <v>1245</v>
      </c>
      <c r="C203" s="384"/>
      <c r="D203" s="384"/>
      <c r="E203" s="385">
        <v>0</v>
      </c>
      <c r="F203" s="386">
        <v>0</v>
      </c>
      <c r="G203" s="387">
        <f t="shared" si="2"/>
        <v>0</v>
      </c>
      <c r="H203" s="388" t="s">
        <v>455</v>
      </c>
      <c r="I203" s="389"/>
    </row>
    <row r="204" spans="1:9" s="375" customFormat="1" ht="13" x14ac:dyDescent="0.3">
      <c r="A204" s="382">
        <v>601665</v>
      </c>
      <c r="B204" s="383" t="s">
        <v>1246</v>
      </c>
      <c r="C204" s="384"/>
      <c r="D204" s="384"/>
      <c r="E204" s="385">
        <v>0</v>
      </c>
      <c r="F204" s="386">
        <v>0</v>
      </c>
      <c r="G204" s="387">
        <f t="shared" si="2"/>
        <v>0</v>
      </c>
      <c r="H204" s="388" t="s">
        <v>455</v>
      </c>
      <c r="I204" s="389"/>
    </row>
    <row r="205" spans="1:9" s="375" customFormat="1" ht="13" x14ac:dyDescent="0.3">
      <c r="A205" s="382">
        <v>601522</v>
      </c>
      <c r="B205" s="383" t="s">
        <v>1248</v>
      </c>
      <c r="C205" s="384"/>
      <c r="D205" s="384"/>
      <c r="E205" s="385">
        <v>0</v>
      </c>
      <c r="F205" s="386">
        <v>0</v>
      </c>
      <c r="G205" s="387">
        <f t="shared" si="2"/>
        <v>0</v>
      </c>
      <c r="H205" s="388" t="s">
        <v>455</v>
      </c>
      <c r="I205" s="389"/>
    </row>
    <row r="206" spans="1:9" s="375" customFormat="1" ht="13" x14ac:dyDescent="0.3">
      <c r="A206" s="382">
        <v>601923</v>
      </c>
      <c r="B206" s="383" t="s">
        <v>1249</v>
      </c>
      <c r="C206" s="384"/>
      <c r="D206" s="384"/>
      <c r="E206" s="385">
        <v>0</v>
      </c>
      <c r="F206" s="386">
        <v>0</v>
      </c>
      <c r="G206" s="387">
        <f t="shared" si="2"/>
        <v>0</v>
      </c>
      <c r="H206" s="388" t="s">
        <v>455</v>
      </c>
      <c r="I206" s="389"/>
    </row>
    <row r="207" spans="1:9" s="375" customFormat="1" ht="13" x14ac:dyDescent="0.3">
      <c r="A207" s="382">
        <v>601699</v>
      </c>
      <c r="B207" s="383" t="s">
        <v>1250</v>
      </c>
      <c r="C207" s="384"/>
      <c r="D207" s="384"/>
      <c r="E207" s="385">
        <v>0</v>
      </c>
      <c r="F207" s="386">
        <v>0</v>
      </c>
      <c r="G207" s="387">
        <f t="shared" si="2"/>
        <v>0</v>
      </c>
      <c r="H207" s="388" t="s">
        <v>455</v>
      </c>
      <c r="I207" s="389"/>
    </row>
    <row r="208" spans="1:9" s="375" customFormat="1" ht="13" x14ac:dyDescent="0.3">
      <c r="A208" s="382">
        <v>601965</v>
      </c>
      <c r="B208" s="383" t="s">
        <v>1251</v>
      </c>
      <c r="C208" s="384"/>
      <c r="D208" s="384"/>
      <c r="E208" s="385">
        <v>0</v>
      </c>
      <c r="F208" s="386">
        <v>0</v>
      </c>
      <c r="G208" s="387">
        <f t="shared" si="2"/>
        <v>0</v>
      </c>
      <c r="H208" s="388" t="s">
        <v>455</v>
      </c>
      <c r="I208" s="389"/>
    </row>
    <row r="209" spans="1:9" s="375" customFormat="1" ht="13" x14ac:dyDescent="0.3">
      <c r="A209" s="382">
        <v>601903</v>
      </c>
      <c r="B209" s="383" t="s">
        <v>1252</v>
      </c>
      <c r="C209" s="384"/>
      <c r="D209" s="384"/>
      <c r="E209" s="385">
        <v>0</v>
      </c>
      <c r="F209" s="386">
        <v>0</v>
      </c>
      <c r="G209" s="387">
        <f t="shared" si="2"/>
        <v>0</v>
      </c>
      <c r="H209" s="388" t="s">
        <v>455</v>
      </c>
      <c r="I209" s="389"/>
    </row>
    <row r="210" spans="1:9" s="375" customFormat="1" ht="13" x14ac:dyDescent="0.3">
      <c r="A210" s="382">
        <v>601706</v>
      </c>
      <c r="B210" s="383" t="s">
        <v>1253</v>
      </c>
      <c r="C210" s="384"/>
      <c r="D210" s="384"/>
      <c r="E210" s="385">
        <v>0</v>
      </c>
      <c r="F210" s="386">
        <v>0</v>
      </c>
      <c r="G210" s="387">
        <f t="shared" ref="G210:G212" si="3">E210*0.35</f>
        <v>0</v>
      </c>
      <c r="H210" s="388" t="s">
        <v>455</v>
      </c>
      <c r="I210" s="389"/>
    </row>
    <row r="211" spans="1:9" s="375" customFormat="1" ht="13" x14ac:dyDescent="0.3">
      <c r="A211" s="382">
        <v>601908</v>
      </c>
      <c r="B211" s="383" t="s">
        <v>1254</v>
      </c>
      <c r="C211" s="384"/>
      <c r="D211" s="384"/>
      <c r="E211" s="385">
        <v>0</v>
      </c>
      <c r="F211" s="386">
        <v>0</v>
      </c>
      <c r="G211" s="387">
        <f t="shared" si="3"/>
        <v>0</v>
      </c>
      <c r="H211" s="388" t="s">
        <v>455</v>
      </c>
      <c r="I211" s="389"/>
    </row>
    <row r="212" spans="1:9" s="375" customFormat="1" ht="13.5" thickBot="1" x14ac:dyDescent="0.35">
      <c r="A212" s="382">
        <v>601711</v>
      </c>
      <c r="B212" s="383" t="s">
        <v>1255</v>
      </c>
      <c r="C212" s="384"/>
      <c r="D212" s="384"/>
      <c r="E212" s="385">
        <v>0</v>
      </c>
      <c r="F212" s="386">
        <v>0</v>
      </c>
      <c r="G212" s="387">
        <f t="shared" si="3"/>
        <v>0</v>
      </c>
      <c r="H212" s="388" t="s">
        <v>455</v>
      </c>
      <c r="I212" s="389"/>
    </row>
    <row r="213" spans="1:9" s="375" customFormat="1" ht="15" thickTop="1" thickBot="1" x14ac:dyDescent="0.35">
      <c r="A213" s="390"/>
      <c r="B213" s="391" t="s">
        <v>22</v>
      </c>
      <c r="C213" s="392">
        <f>SUM(C3:C212)</f>
        <v>99653056.799999937</v>
      </c>
      <c r="D213" s="393">
        <f>SUM(D3:D212)</f>
        <v>22644551.619999994</v>
      </c>
      <c r="E213" s="394">
        <f>SUM(E3:E212)</f>
        <v>122297608.41999993</v>
      </c>
      <c r="F213" s="395">
        <f>SUM(F3:F212)</f>
        <v>42804162.946999967</v>
      </c>
      <c r="G213" s="396">
        <f>SUM(G3:G212)</f>
        <v>42804162.946999967</v>
      </c>
      <c r="H213" s="390"/>
    </row>
    <row r="214" spans="1:9" ht="13" thickTop="1" x14ac:dyDescent="0.25">
      <c r="C214" s="398"/>
      <c r="D214" s="398"/>
      <c r="E214" s="398"/>
      <c r="F214" s="398"/>
    </row>
    <row r="215" spans="1:9" x14ac:dyDescent="0.25">
      <c r="C215" s="399"/>
      <c r="D215" s="399"/>
      <c r="E215" s="399"/>
      <c r="F215" s="399"/>
      <c r="G215" s="400"/>
      <c r="H215" s="400"/>
    </row>
    <row r="216" spans="1:9" x14ac:dyDescent="0.25">
      <c r="H216" s="400"/>
    </row>
    <row r="217" spans="1:9" x14ac:dyDescent="0.25">
      <c r="C217" s="398"/>
      <c r="D217" s="398"/>
      <c r="E217" s="398"/>
      <c r="F217" s="398"/>
      <c r="H217" s="400"/>
    </row>
    <row r="218" spans="1:9" x14ac:dyDescent="0.25">
      <c r="C218" s="398"/>
      <c r="D218" s="398"/>
      <c r="E218" s="398"/>
      <c r="F218" s="398"/>
      <c r="G218" s="400"/>
    </row>
    <row r="220" spans="1:9" x14ac:dyDescent="0.25">
      <c r="C220" s="398"/>
      <c r="D220" s="398"/>
      <c r="E220" s="398"/>
      <c r="F220" s="398"/>
    </row>
    <row r="295" spans="1:8" s="401" customFormat="1" x14ac:dyDescent="0.25">
      <c r="A295" s="397"/>
      <c r="B295" s="397"/>
      <c r="D295" s="402"/>
      <c r="G295" s="397"/>
      <c r="H295" s="397"/>
    </row>
  </sheetData>
  <mergeCells count="4">
    <mergeCell ref="A1:A2"/>
    <mergeCell ref="B1:B2"/>
    <mergeCell ref="C1:E1"/>
    <mergeCell ref="G1:H1"/>
  </mergeCells>
  <conditionalFormatting sqref="A1:A2">
    <cfRule type="duplicateValues" dxfId="37" priority="15"/>
    <cfRule type="duplicateValues" dxfId="36" priority="16"/>
    <cfRule type="duplicateValues" dxfId="35" priority="17"/>
  </conditionalFormatting>
  <conditionalFormatting sqref="A1:A4">
    <cfRule type="duplicateValues" dxfId="34" priority="8"/>
    <cfRule type="duplicateValues" dxfId="33" priority="9"/>
  </conditionalFormatting>
  <conditionalFormatting sqref="A1:A1048576">
    <cfRule type="duplicateValues" dxfId="32" priority="1"/>
    <cfRule type="duplicateValues" dxfId="31" priority="2"/>
    <cfRule type="duplicateValues" dxfId="30" priority="3"/>
  </conditionalFormatting>
  <conditionalFormatting sqref="A3">
    <cfRule type="duplicateValues" dxfId="29" priority="13"/>
  </conditionalFormatting>
  <conditionalFormatting sqref="A3:A4">
    <cfRule type="duplicateValues" dxfId="28" priority="10"/>
    <cfRule type="duplicateValues" dxfId="27" priority="11"/>
    <cfRule type="duplicateValues" dxfId="26" priority="14"/>
  </conditionalFormatting>
  <conditionalFormatting sqref="A4">
    <cfRule type="duplicateValues" dxfId="25" priority="12"/>
  </conditionalFormatting>
  <conditionalFormatting sqref="A5:A212">
    <cfRule type="duplicateValues" dxfId="24" priority="26"/>
    <cfRule type="duplicateValues" dxfId="23" priority="27"/>
    <cfRule type="duplicateValues" dxfId="22" priority="28"/>
  </conditionalFormatting>
  <conditionalFormatting sqref="A213">
    <cfRule type="duplicateValues" dxfId="21" priority="20"/>
  </conditionalFormatting>
  <conditionalFormatting sqref="A213:A1048576">
    <cfRule type="duplicateValues" dxfId="20" priority="18"/>
    <cfRule type="duplicateValues" dxfId="19" priority="19"/>
  </conditionalFormatting>
  <conditionalFormatting sqref="A214:A1048576">
    <cfRule type="duplicateValues" dxfId="18" priority="25"/>
  </conditionalFormatting>
  <conditionalFormatting sqref="B1">
    <cfRule type="duplicateValues" dxfId="17" priority="6"/>
  </conditionalFormatting>
  <conditionalFormatting sqref="B1:B2">
    <cfRule type="duplicateValues" dxfId="16" priority="5"/>
  </conditionalFormatting>
  <conditionalFormatting sqref="B2">
    <cfRule type="duplicateValues" dxfId="15" priority="7"/>
  </conditionalFormatting>
  <conditionalFormatting sqref="B3:B4">
    <cfRule type="duplicateValues" dxfId="14" priority="23"/>
    <cfRule type="duplicateValues" dxfId="13" priority="24"/>
  </conditionalFormatting>
  <conditionalFormatting sqref="B5:B212">
    <cfRule type="duplicateValues" dxfId="12" priority="29"/>
  </conditionalFormatting>
  <conditionalFormatting sqref="B213">
    <cfRule type="duplicateValues" dxfId="11" priority="21"/>
    <cfRule type="duplicateValues" dxfId="10" priority="22"/>
  </conditionalFormatting>
  <conditionalFormatting sqref="C1">
    <cfRule type="duplicateValues" dxfId="9" priority="4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O120"/>
  <sheetViews>
    <sheetView workbookViewId="0">
      <selection activeCell="H22" sqref="H22"/>
    </sheetView>
  </sheetViews>
  <sheetFormatPr defaultRowHeight="12" x14ac:dyDescent="0.3"/>
  <cols>
    <col min="1" max="1" width="12.33203125" style="2" customWidth="1"/>
    <col min="2" max="2" width="15.33203125" style="1" customWidth="1"/>
    <col min="3" max="3" width="17.21875" style="21" customWidth="1"/>
    <col min="4" max="4" width="15.5546875" style="21" customWidth="1"/>
    <col min="5" max="5" width="17.77734375" customWidth="1"/>
    <col min="6" max="9" width="16.5546875" customWidth="1"/>
  </cols>
  <sheetData>
    <row r="1" spans="1:15" ht="12.5" customHeight="1" thickTop="1" x14ac:dyDescent="0.3">
      <c r="A1" s="596" t="s">
        <v>6</v>
      </c>
      <c r="B1" s="598" t="s">
        <v>7</v>
      </c>
      <c r="C1" s="599"/>
      <c r="D1" s="599"/>
      <c r="E1" s="600"/>
      <c r="F1" s="601" t="s">
        <v>3</v>
      </c>
      <c r="G1" s="602"/>
      <c r="H1" s="602"/>
      <c r="I1" s="603"/>
    </row>
    <row r="2" spans="1:15" ht="21.5" thickBot="1" x14ac:dyDescent="0.35">
      <c r="A2" s="597"/>
      <c r="B2" s="14" t="s">
        <v>9</v>
      </c>
      <c r="C2" s="15" t="s">
        <v>10</v>
      </c>
      <c r="D2" s="15" t="s">
        <v>11</v>
      </c>
      <c r="E2" s="7" t="s">
        <v>1</v>
      </c>
      <c r="F2" s="10" t="s">
        <v>8</v>
      </c>
      <c r="G2" s="3" t="s">
        <v>10</v>
      </c>
      <c r="H2" s="3" t="s">
        <v>11</v>
      </c>
      <c r="I2" s="11" t="s">
        <v>5</v>
      </c>
    </row>
    <row r="3" spans="1:15" ht="13.5" thickTop="1" x14ac:dyDescent="0.3">
      <c r="A3" s="16">
        <v>929</v>
      </c>
      <c r="B3" s="22">
        <v>10849.1432</v>
      </c>
      <c r="C3" s="17">
        <f>B3*0.3</f>
        <v>3254.74296</v>
      </c>
      <c r="D3" s="17">
        <f>B3*0.7</f>
        <v>7594.4002399999999</v>
      </c>
      <c r="E3" s="9"/>
      <c r="F3" s="8"/>
      <c r="G3" s="4"/>
      <c r="H3" s="4"/>
      <c r="I3" s="18"/>
    </row>
    <row r="4" spans="1:15" ht="13" x14ac:dyDescent="0.3">
      <c r="A4" s="16">
        <v>6061</v>
      </c>
      <c r="B4" s="22">
        <v>84.432999999999993</v>
      </c>
      <c r="C4" s="17">
        <f t="shared" ref="C4:C67" si="0">B4*0.3</f>
        <v>25.329899999999999</v>
      </c>
      <c r="D4" s="17">
        <f t="shared" ref="D4:D67" si="1">B4*0.7</f>
        <v>59.103099999999991</v>
      </c>
      <c r="E4" s="5"/>
      <c r="F4" s="8"/>
      <c r="G4" s="4"/>
      <c r="H4" s="4"/>
      <c r="I4" s="18"/>
      <c r="N4" s="16">
        <v>8131</v>
      </c>
      <c r="O4" s="5" t="s">
        <v>12</v>
      </c>
    </row>
    <row r="5" spans="1:15" ht="13" x14ac:dyDescent="0.3">
      <c r="A5" s="16">
        <v>6131</v>
      </c>
      <c r="B5" s="22">
        <v>1812.9059999999999</v>
      </c>
      <c r="C5" s="17">
        <f t="shared" si="0"/>
        <v>543.87180000000001</v>
      </c>
      <c r="D5" s="17">
        <f t="shared" si="1"/>
        <v>1269.0341999999998</v>
      </c>
      <c r="E5" s="5"/>
      <c r="F5" s="8"/>
      <c r="G5" s="4"/>
      <c r="H5" s="4"/>
      <c r="I5" s="18"/>
      <c r="N5" s="16">
        <v>9078</v>
      </c>
      <c r="O5" t="s">
        <v>13</v>
      </c>
    </row>
    <row r="6" spans="1:15" ht="13" x14ac:dyDescent="0.3">
      <c r="A6" s="16">
        <v>6212</v>
      </c>
      <c r="B6" s="22">
        <v>1176.4513999999999</v>
      </c>
      <c r="C6" s="17">
        <f t="shared" si="0"/>
        <v>352.93541999999997</v>
      </c>
      <c r="D6" s="17">
        <f t="shared" si="1"/>
        <v>823.5159799999999</v>
      </c>
      <c r="E6" s="5"/>
      <c r="F6" s="8"/>
      <c r="G6" s="4"/>
      <c r="H6" s="4"/>
      <c r="I6" s="18"/>
      <c r="N6" s="23">
        <v>6776</v>
      </c>
      <c r="O6" t="s">
        <v>13</v>
      </c>
    </row>
    <row r="7" spans="1:15" ht="13" x14ac:dyDescent="0.3">
      <c r="A7" s="16">
        <v>6229</v>
      </c>
      <c r="B7" s="22">
        <v>1508.7539999999999</v>
      </c>
      <c r="C7" s="17">
        <f t="shared" si="0"/>
        <v>452.62619999999998</v>
      </c>
      <c r="D7" s="17">
        <f t="shared" si="1"/>
        <v>1056.1278</v>
      </c>
      <c r="E7" s="5"/>
      <c r="F7" s="8"/>
      <c r="G7" s="4"/>
      <c r="H7" s="4"/>
      <c r="I7" s="18"/>
    </row>
    <row r="8" spans="1:15" ht="13" x14ac:dyDescent="0.3">
      <c r="A8" s="16">
        <v>6303</v>
      </c>
      <c r="B8" s="22">
        <v>20545.946</v>
      </c>
      <c r="C8" s="17">
        <f t="shared" si="0"/>
        <v>6163.7838000000002</v>
      </c>
      <c r="D8" s="17">
        <f t="shared" si="1"/>
        <v>14382.162199999999</v>
      </c>
      <c r="E8" s="5"/>
      <c r="F8" s="8"/>
      <c r="G8" s="4"/>
      <c r="H8" s="4"/>
      <c r="I8" s="18"/>
    </row>
    <row r="9" spans="1:15" ht="13" x14ac:dyDescent="0.3">
      <c r="A9" s="16">
        <v>6311</v>
      </c>
      <c r="B9" s="22">
        <v>222.11099999999999</v>
      </c>
      <c r="C9" s="17">
        <f t="shared" si="0"/>
        <v>66.633299999999991</v>
      </c>
      <c r="D9" s="17">
        <f t="shared" si="1"/>
        <v>155.47769999999997</v>
      </c>
      <c r="E9" s="5"/>
      <c r="F9" s="8"/>
      <c r="G9" s="4"/>
      <c r="H9" s="4"/>
      <c r="I9" s="18"/>
    </row>
    <row r="10" spans="1:15" ht="13" x14ac:dyDescent="0.3">
      <c r="A10" s="16">
        <v>6434</v>
      </c>
      <c r="B10" s="22">
        <v>14.467000000000001</v>
      </c>
      <c r="C10" s="17">
        <f t="shared" si="0"/>
        <v>4.3400999999999996</v>
      </c>
      <c r="D10" s="17">
        <f t="shared" si="1"/>
        <v>10.126899999999999</v>
      </c>
      <c r="E10" s="5"/>
      <c r="F10" s="8"/>
      <c r="G10" s="4"/>
      <c r="H10" s="4"/>
      <c r="I10" s="18"/>
    </row>
    <row r="11" spans="1:15" ht="13" x14ac:dyDescent="0.3">
      <c r="A11" s="16">
        <v>6583</v>
      </c>
      <c r="B11" s="22">
        <v>430.67499999999995</v>
      </c>
      <c r="C11" s="17">
        <f t="shared" si="0"/>
        <v>129.20249999999999</v>
      </c>
      <c r="D11" s="17">
        <f t="shared" si="1"/>
        <v>301.47249999999997</v>
      </c>
      <c r="E11" s="5"/>
      <c r="F11" s="8"/>
      <c r="G11" s="4"/>
      <c r="H11" s="4"/>
      <c r="I11" s="18"/>
    </row>
    <row r="12" spans="1:15" ht="13" x14ac:dyDescent="0.3">
      <c r="A12" s="16">
        <v>6804</v>
      </c>
      <c r="B12" s="22">
        <v>177.08849999999998</v>
      </c>
      <c r="C12" s="17">
        <f t="shared" si="0"/>
        <v>53.126549999999995</v>
      </c>
      <c r="D12" s="17">
        <f t="shared" si="1"/>
        <v>123.96194999999997</v>
      </c>
      <c r="E12" s="5"/>
      <c r="F12" s="8"/>
      <c r="G12" s="4"/>
      <c r="H12" s="4"/>
      <c r="I12" s="18"/>
    </row>
    <row r="13" spans="1:15" ht="13" x14ac:dyDescent="0.3">
      <c r="A13" s="16">
        <v>6810</v>
      </c>
      <c r="B13" s="22">
        <v>9768.8820000000014</v>
      </c>
      <c r="C13" s="17">
        <f t="shared" si="0"/>
        <v>2930.6646000000005</v>
      </c>
      <c r="D13" s="17">
        <f t="shared" si="1"/>
        <v>6838.2174000000005</v>
      </c>
      <c r="E13" s="5"/>
      <c r="F13" s="8"/>
      <c r="G13" s="4"/>
      <c r="H13" s="4"/>
      <c r="I13" s="18"/>
    </row>
    <row r="14" spans="1:15" ht="13" x14ac:dyDescent="0.3">
      <c r="A14" s="16">
        <v>6949</v>
      </c>
      <c r="B14" s="22">
        <v>30.015000000000001</v>
      </c>
      <c r="C14" s="17">
        <f t="shared" si="0"/>
        <v>9.0045000000000002</v>
      </c>
      <c r="D14" s="17">
        <f t="shared" si="1"/>
        <v>21.0105</v>
      </c>
      <c r="E14" s="5"/>
      <c r="F14" s="8"/>
      <c r="G14" s="4"/>
      <c r="H14" s="4"/>
      <c r="I14" s="18"/>
    </row>
    <row r="15" spans="1:15" ht="13" x14ac:dyDescent="0.3">
      <c r="A15" s="16">
        <v>6966</v>
      </c>
      <c r="B15" s="22">
        <v>560.28</v>
      </c>
      <c r="C15" s="17">
        <f t="shared" si="0"/>
        <v>168.08399999999997</v>
      </c>
      <c r="D15" s="17">
        <f t="shared" si="1"/>
        <v>392.19599999999997</v>
      </c>
      <c r="E15" s="5"/>
      <c r="F15" s="8"/>
      <c r="G15" s="4"/>
      <c r="H15" s="4"/>
      <c r="I15" s="18"/>
    </row>
    <row r="16" spans="1:15" ht="13" x14ac:dyDescent="0.3">
      <c r="A16" s="16">
        <v>6969</v>
      </c>
      <c r="B16" s="22">
        <v>120.88991</v>
      </c>
      <c r="C16" s="17">
        <f t="shared" si="0"/>
        <v>36.266973</v>
      </c>
      <c r="D16" s="17">
        <f t="shared" si="1"/>
        <v>84.622936999999993</v>
      </c>
      <c r="E16" s="5"/>
      <c r="F16" s="8"/>
      <c r="G16" s="4"/>
      <c r="H16" s="4"/>
      <c r="I16" s="18"/>
    </row>
    <row r="17" spans="1:9" ht="13" x14ac:dyDescent="0.3">
      <c r="A17" s="16">
        <v>7000</v>
      </c>
      <c r="B17" s="22">
        <v>525.88159999999993</v>
      </c>
      <c r="C17" s="17">
        <f t="shared" si="0"/>
        <v>157.76447999999996</v>
      </c>
      <c r="D17" s="17">
        <f t="shared" si="1"/>
        <v>368.11711999999994</v>
      </c>
      <c r="E17" s="5"/>
      <c r="F17" s="8"/>
      <c r="G17" s="4"/>
      <c r="H17" s="4"/>
      <c r="I17" s="18"/>
    </row>
    <row r="18" spans="1:9" ht="13" x14ac:dyDescent="0.3">
      <c r="A18" s="16">
        <v>7024</v>
      </c>
      <c r="B18" s="22">
        <v>1436.7179999999998</v>
      </c>
      <c r="C18" s="17">
        <f t="shared" si="0"/>
        <v>431.01539999999994</v>
      </c>
      <c r="D18" s="17">
        <f t="shared" si="1"/>
        <v>1005.7025999999998</v>
      </c>
      <c r="E18" s="5"/>
      <c r="F18" s="8"/>
      <c r="G18" s="4"/>
      <c r="H18" s="4"/>
      <c r="I18" s="18"/>
    </row>
    <row r="19" spans="1:9" ht="13" x14ac:dyDescent="0.3">
      <c r="A19" s="16">
        <v>7025</v>
      </c>
      <c r="B19" s="22">
        <v>27.302399999999999</v>
      </c>
      <c r="C19" s="17">
        <f t="shared" si="0"/>
        <v>8.1907199999999989</v>
      </c>
      <c r="D19" s="17">
        <f t="shared" si="1"/>
        <v>19.111679999999996</v>
      </c>
      <c r="E19" s="5"/>
      <c r="F19" s="8"/>
      <c r="G19" s="4"/>
      <c r="H19" s="4"/>
      <c r="I19" s="18"/>
    </row>
    <row r="20" spans="1:9" ht="13" x14ac:dyDescent="0.3">
      <c r="A20" s="16">
        <v>7045</v>
      </c>
      <c r="B20" s="22">
        <v>56.485275000000001</v>
      </c>
      <c r="C20" s="17">
        <f t="shared" si="0"/>
        <v>16.9455825</v>
      </c>
      <c r="D20" s="17">
        <f t="shared" si="1"/>
        <v>39.539692500000001</v>
      </c>
      <c r="E20" s="5"/>
      <c r="F20" s="8"/>
      <c r="G20" s="4"/>
      <c r="H20" s="4"/>
      <c r="I20" s="18"/>
    </row>
    <row r="21" spans="1:9" ht="13" x14ac:dyDescent="0.3">
      <c r="A21" s="16">
        <v>7058</v>
      </c>
      <c r="B21" s="22">
        <v>1026.5129999999999</v>
      </c>
      <c r="C21" s="17">
        <f t="shared" si="0"/>
        <v>307.95389999999998</v>
      </c>
      <c r="D21" s="17">
        <f t="shared" si="1"/>
        <v>718.55909999999994</v>
      </c>
      <c r="E21" s="5"/>
      <c r="F21" s="8"/>
      <c r="G21" s="4"/>
      <c r="H21" s="4"/>
      <c r="I21" s="18"/>
    </row>
    <row r="22" spans="1:9" ht="13" x14ac:dyDescent="0.3">
      <c r="A22" s="16">
        <v>7071</v>
      </c>
      <c r="B22" s="22">
        <v>724.53599999999994</v>
      </c>
      <c r="C22" s="17">
        <f t="shared" si="0"/>
        <v>217.36079999999998</v>
      </c>
      <c r="D22" s="17">
        <f t="shared" si="1"/>
        <v>507.1751999999999</v>
      </c>
      <c r="E22" s="5"/>
      <c r="F22" s="8"/>
      <c r="G22" s="4"/>
      <c r="H22" s="4"/>
      <c r="I22" s="18"/>
    </row>
    <row r="23" spans="1:9" ht="13" x14ac:dyDescent="0.3">
      <c r="A23" s="16">
        <v>7077</v>
      </c>
      <c r="B23" s="22">
        <v>66.305999999999997</v>
      </c>
      <c r="C23" s="17">
        <f t="shared" si="0"/>
        <v>19.8918</v>
      </c>
      <c r="D23" s="17">
        <f t="shared" si="1"/>
        <v>46.414199999999994</v>
      </c>
      <c r="E23" s="5"/>
      <c r="F23" s="8"/>
      <c r="G23" s="4"/>
      <c r="H23" s="4"/>
      <c r="I23" s="18"/>
    </row>
    <row r="24" spans="1:9" ht="13" x14ac:dyDescent="0.3">
      <c r="A24" s="16">
        <v>7117</v>
      </c>
      <c r="B24" s="22">
        <v>30.015000000000001</v>
      </c>
      <c r="C24" s="17">
        <f t="shared" si="0"/>
        <v>9.0045000000000002</v>
      </c>
      <c r="D24" s="17">
        <f t="shared" si="1"/>
        <v>21.0105</v>
      </c>
      <c r="E24" s="5"/>
      <c r="F24" s="8"/>
      <c r="G24" s="4"/>
      <c r="H24" s="4"/>
      <c r="I24" s="18"/>
    </row>
    <row r="25" spans="1:9" ht="13" x14ac:dyDescent="0.3">
      <c r="A25" s="16">
        <v>7151</v>
      </c>
      <c r="B25" s="22">
        <v>2297.1480000000001</v>
      </c>
      <c r="C25" s="17">
        <f t="shared" si="0"/>
        <v>689.14440000000002</v>
      </c>
      <c r="D25" s="17">
        <f t="shared" si="1"/>
        <v>1608.0036</v>
      </c>
      <c r="E25" s="5"/>
      <c r="F25" s="8"/>
      <c r="G25" s="4"/>
      <c r="H25" s="4"/>
      <c r="I25" s="18"/>
    </row>
    <row r="26" spans="1:9" ht="13" x14ac:dyDescent="0.3">
      <c r="A26" s="16">
        <v>7170</v>
      </c>
      <c r="B26" s="22">
        <v>11953.159600000001</v>
      </c>
      <c r="C26" s="17">
        <f t="shared" si="0"/>
        <v>3585.9478800000002</v>
      </c>
      <c r="D26" s="17">
        <f t="shared" si="1"/>
        <v>8367.2117199999993</v>
      </c>
      <c r="E26" s="5"/>
      <c r="F26" s="8"/>
      <c r="G26" s="4"/>
      <c r="H26" s="4"/>
      <c r="I26" s="18"/>
    </row>
    <row r="27" spans="1:9" ht="13" x14ac:dyDescent="0.3">
      <c r="A27" s="16">
        <v>7171</v>
      </c>
      <c r="B27" s="22">
        <v>1352.6759999999999</v>
      </c>
      <c r="C27" s="17">
        <f t="shared" si="0"/>
        <v>405.80279999999999</v>
      </c>
      <c r="D27" s="17">
        <f t="shared" si="1"/>
        <v>946.87319999999988</v>
      </c>
      <c r="E27" s="5"/>
      <c r="F27" s="8"/>
      <c r="G27" s="4"/>
      <c r="H27" s="4"/>
      <c r="I27" s="18"/>
    </row>
    <row r="28" spans="1:9" ht="13" x14ac:dyDescent="0.3">
      <c r="A28" s="16">
        <v>7192</v>
      </c>
      <c r="B28" s="22">
        <v>270.13499999999999</v>
      </c>
      <c r="C28" s="17">
        <f t="shared" si="0"/>
        <v>81.040499999999994</v>
      </c>
      <c r="D28" s="17">
        <f t="shared" si="1"/>
        <v>189.09449999999998</v>
      </c>
      <c r="E28" s="5"/>
      <c r="F28" s="8"/>
      <c r="G28" s="4"/>
      <c r="H28" s="4"/>
      <c r="I28" s="18"/>
    </row>
    <row r="29" spans="1:9" ht="13" x14ac:dyDescent="0.3">
      <c r="A29" s="16">
        <v>7380</v>
      </c>
      <c r="B29" s="22">
        <v>2833.4159999999997</v>
      </c>
      <c r="C29" s="17">
        <f t="shared" si="0"/>
        <v>850.02479999999991</v>
      </c>
      <c r="D29" s="17">
        <f t="shared" si="1"/>
        <v>1983.3911999999996</v>
      </c>
      <c r="E29" s="5"/>
      <c r="F29" s="8"/>
      <c r="G29" s="4"/>
      <c r="H29" s="4"/>
      <c r="I29" s="18"/>
    </row>
    <row r="30" spans="1:9" ht="13" x14ac:dyDescent="0.3">
      <c r="A30" s="16">
        <v>7429</v>
      </c>
      <c r="B30" s="22">
        <v>10867.1165</v>
      </c>
      <c r="C30" s="17">
        <f t="shared" si="0"/>
        <v>3260.1349500000001</v>
      </c>
      <c r="D30" s="17">
        <f t="shared" si="1"/>
        <v>7606.9815499999995</v>
      </c>
      <c r="E30" s="5"/>
      <c r="F30" s="8"/>
      <c r="G30" s="4"/>
      <c r="H30" s="4"/>
      <c r="I30" s="18"/>
    </row>
    <row r="31" spans="1:9" ht="13" x14ac:dyDescent="0.3">
      <c r="A31" s="16">
        <v>7445</v>
      </c>
      <c r="B31" s="22">
        <v>3.5945</v>
      </c>
      <c r="C31" s="17">
        <f t="shared" si="0"/>
        <v>1.0783499999999999</v>
      </c>
      <c r="D31" s="17">
        <f t="shared" si="1"/>
        <v>2.5161499999999997</v>
      </c>
      <c r="E31" s="5"/>
      <c r="F31" s="8"/>
      <c r="G31" s="4"/>
      <c r="H31" s="4"/>
      <c r="I31" s="18"/>
    </row>
    <row r="32" spans="1:9" ht="13" x14ac:dyDescent="0.3">
      <c r="A32" s="16">
        <v>7473</v>
      </c>
      <c r="B32" s="22">
        <v>69105.311499999996</v>
      </c>
      <c r="C32" s="17">
        <f t="shared" si="0"/>
        <v>20731.593449999997</v>
      </c>
      <c r="D32" s="17">
        <f t="shared" si="1"/>
        <v>48373.718049999996</v>
      </c>
      <c r="E32" s="5"/>
      <c r="F32" s="8"/>
      <c r="G32" s="4"/>
      <c r="H32" s="4"/>
      <c r="I32" s="18"/>
    </row>
    <row r="33" spans="1:9" ht="13" x14ac:dyDescent="0.3">
      <c r="A33" s="16">
        <v>7475</v>
      </c>
      <c r="B33" s="22">
        <v>114.05699999999999</v>
      </c>
      <c r="C33" s="17">
        <f t="shared" si="0"/>
        <v>34.217099999999995</v>
      </c>
      <c r="D33" s="17">
        <f t="shared" si="1"/>
        <v>79.839899999999986</v>
      </c>
      <c r="E33" s="5"/>
      <c r="F33" s="8"/>
      <c r="G33" s="4"/>
      <c r="H33" s="4"/>
      <c r="I33" s="18"/>
    </row>
    <row r="34" spans="1:9" ht="13" x14ac:dyDescent="0.3">
      <c r="A34" s="16">
        <v>7599</v>
      </c>
      <c r="B34" s="22">
        <v>12.006</v>
      </c>
      <c r="C34" s="17">
        <f t="shared" si="0"/>
        <v>3.6017999999999999</v>
      </c>
      <c r="D34" s="17">
        <f t="shared" si="1"/>
        <v>8.4041999999999994</v>
      </c>
      <c r="E34" s="5"/>
      <c r="F34" s="8"/>
      <c r="G34" s="4"/>
      <c r="H34" s="4"/>
      <c r="I34" s="18"/>
    </row>
    <row r="35" spans="1:9" ht="13" x14ac:dyDescent="0.3">
      <c r="A35" s="16">
        <v>7617</v>
      </c>
      <c r="B35" s="22">
        <v>2235.1169999999997</v>
      </c>
      <c r="C35" s="17">
        <f t="shared" si="0"/>
        <v>670.53509999999994</v>
      </c>
      <c r="D35" s="17">
        <f t="shared" si="1"/>
        <v>1564.5818999999997</v>
      </c>
      <c r="E35" s="5"/>
      <c r="F35" s="8"/>
      <c r="G35" s="4"/>
      <c r="H35" s="4"/>
      <c r="I35" s="18"/>
    </row>
    <row r="36" spans="1:9" ht="13" x14ac:dyDescent="0.3">
      <c r="A36" s="16">
        <v>7622</v>
      </c>
      <c r="B36" s="22">
        <v>20.010000000000002</v>
      </c>
      <c r="C36" s="17">
        <f t="shared" si="0"/>
        <v>6.0030000000000001</v>
      </c>
      <c r="D36" s="17">
        <f t="shared" si="1"/>
        <v>14.007</v>
      </c>
      <c r="E36" s="5"/>
      <c r="F36" s="8"/>
      <c r="G36" s="4"/>
      <c r="H36" s="4"/>
      <c r="I36" s="18"/>
    </row>
    <row r="37" spans="1:9" ht="13" x14ac:dyDescent="0.3">
      <c r="A37" s="16">
        <v>7656</v>
      </c>
      <c r="B37" s="22">
        <v>248.124</v>
      </c>
      <c r="C37" s="17">
        <f t="shared" si="0"/>
        <v>74.43719999999999</v>
      </c>
      <c r="D37" s="17">
        <f t="shared" si="1"/>
        <v>173.68679999999998</v>
      </c>
      <c r="E37" s="5"/>
      <c r="F37" s="8"/>
      <c r="G37" s="4"/>
      <c r="H37" s="4"/>
      <c r="I37" s="18"/>
    </row>
    <row r="38" spans="1:9" ht="13" x14ac:dyDescent="0.3">
      <c r="A38" s="16">
        <v>7755</v>
      </c>
      <c r="B38" s="22">
        <v>1036.518</v>
      </c>
      <c r="C38" s="17">
        <f t="shared" si="0"/>
        <v>310.9554</v>
      </c>
      <c r="D38" s="17">
        <f t="shared" si="1"/>
        <v>725.56259999999997</v>
      </c>
      <c r="E38" s="5"/>
      <c r="F38" s="8"/>
      <c r="G38" s="4"/>
      <c r="H38" s="4"/>
      <c r="I38" s="18"/>
    </row>
    <row r="39" spans="1:9" ht="13" x14ac:dyDescent="0.3">
      <c r="A39" s="16">
        <v>7877</v>
      </c>
      <c r="B39" s="22">
        <v>6607.9610000000002</v>
      </c>
      <c r="C39" s="17">
        <f t="shared" si="0"/>
        <v>1982.3883000000001</v>
      </c>
      <c r="D39" s="17">
        <f t="shared" si="1"/>
        <v>4625.5726999999997</v>
      </c>
      <c r="E39" s="5"/>
      <c r="F39" s="8"/>
      <c r="G39" s="4"/>
      <c r="H39" s="4"/>
      <c r="I39" s="18"/>
    </row>
    <row r="40" spans="1:9" ht="13" x14ac:dyDescent="0.3">
      <c r="A40" s="16">
        <v>8022</v>
      </c>
      <c r="B40" s="22">
        <v>114.0055</v>
      </c>
      <c r="C40" s="17">
        <f t="shared" si="0"/>
        <v>34.201650000000001</v>
      </c>
      <c r="D40" s="17">
        <f t="shared" si="1"/>
        <v>79.803849999999997</v>
      </c>
      <c r="E40" s="5"/>
      <c r="F40" s="8"/>
      <c r="G40" s="4"/>
      <c r="H40" s="4"/>
      <c r="I40" s="18"/>
    </row>
    <row r="41" spans="1:9" ht="13" x14ac:dyDescent="0.3">
      <c r="A41" s="16">
        <v>8035</v>
      </c>
      <c r="B41" s="22">
        <v>2687.3430000000003</v>
      </c>
      <c r="C41" s="17">
        <f t="shared" si="0"/>
        <v>806.20290000000011</v>
      </c>
      <c r="D41" s="17">
        <f t="shared" si="1"/>
        <v>1881.1401000000001</v>
      </c>
      <c r="E41" s="5"/>
      <c r="F41" s="8"/>
      <c r="G41" s="4"/>
      <c r="H41" s="4"/>
      <c r="I41" s="18"/>
    </row>
    <row r="42" spans="1:9" ht="13" x14ac:dyDescent="0.3">
      <c r="A42" s="16">
        <v>8104</v>
      </c>
      <c r="B42" s="22">
        <v>4356.8184299999994</v>
      </c>
      <c r="C42" s="17">
        <f t="shared" si="0"/>
        <v>1307.0455289999998</v>
      </c>
      <c r="D42" s="17">
        <f t="shared" si="1"/>
        <v>3049.7729009999994</v>
      </c>
      <c r="E42" s="5"/>
      <c r="F42" s="8"/>
      <c r="G42" s="4"/>
      <c r="H42" s="4"/>
      <c r="I42" s="18"/>
    </row>
    <row r="43" spans="1:9" ht="13" x14ac:dyDescent="0.3">
      <c r="A43" s="16">
        <v>8123</v>
      </c>
      <c r="B43" s="22">
        <v>370855.37930000003</v>
      </c>
      <c r="C43" s="17">
        <f t="shared" si="0"/>
        <v>111256.61379</v>
      </c>
      <c r="D43" s="17">
        <f t="shared" si="1"/>
        <v>259598.76551</v>
      </c>
      <c r="E43" s="5"/>
      <c r="F43" s="8"/>
      <c r="G43" s="4"/>
      <c r="H43" s="4"/>
      <c r="I43" s="18"/>
    </row>
    <row r="44" spans="1:9" ht="13" x14ac:dyDescent="0.3">
      <c r="A44" s="16">
        <v>8131</v>
      </c>
      <c r="B44" s="22">
        <v>2988.1330800000001</v>
      </c>
      <c r="C44" s="17">
        <f>B44*0</f>
        <v>0</v>
      </c>
      <c r="D44" s="17">
        <f>B44*1</f>
        <v>2988.1330800000001</v>
      </c>
      <c r="E44" s="5" t="s">
        <v>12</v>
      </c>
      <c r="F44" s="8"/>
      <c r="G44" s="4"/>
      <c r="H44" s="4"/>
      <c r="I44" s="18"/>
    </row>
    <row r="45" spans="1:9" ht="13" x14ac:dyDescent="0.3">
      <c r="A45" s="16">
        <v>8191</v>
      </c>
      <c r="B45" s="22">
        <v>4167.3</v>
      </c>
      <c r="C45" s="17">
        <f t="shared" si="0"/>
        <v>1250.19</v>
      </c>
      <c r="D45" s="17">
        <f t="shared" si="1"/>
        <v>2917.11</v>
      </c>
      <c r="E45" s="5"/>
      <c r="F45" s="8"/>
      <c r="G45" s="4"/>
      <c r="H45" s="4"/>
      <c r="I45" s="18"/>
    </row>
    <row r="46" spans="1:9" ht="13" x14ac:dyDescent="0.3">
      <c r="A46" s="16">
        <v>8210</v>
      </c>
      <c r="B46" s="22">
        <v>535.86818000000005</v>
      </c>
      <c r="C46" s="17">
        <f t="shared" si="0"/>
        <v>160.76045400000001</v>
      </c>
      <c r="D46" s="17">
        <f t="shared" si="1"/>
        <v>375.10772600000001</v>
      </c>
      <c r="E46" s="5"/>
      <c r="F46" s="8"/>
      <c r="G46" s="4"/>
      <c r="H46" s="4"/>
      <c r="I46" s="18"/>
    </row>
    <row r="47" spans="1:9" ht="13" x14ac:dyDescent="0.3">
      <c r="A47" s="16">
        <v>8238</v>
      </c>
      <c r="B47" s="22">
        <v>4.0002000000000004</v>
      </c>
      <c r="C47" s="17">
        <f t="shared" si="0"/>
        <v>1.2000600000000001</v>
      </c>
      <c r="D47" s="17">
        <f t="shared" si="1"/>
        <v>2.8001400000000003</v>
      </c>
      <c r="E47" s="5"/>
      <c r="F47" s="8"/>
      <c r="G47" s="4"/>
      <c r="H47" s="4"/>
      <c r="I47" s="18"/>
    </row>
    <row r="48" spans="1:9" ht="13" x14ac:dyDescent="0.3">
      <c r="A48" s="16">
        <v>8284</v>
      </c>
      <c r="B48" s="22">
        <v>8044.0199999999995</v>
      </c>
      <c r="C48" s="17">
        <f t="shared" si="0"/>
        <v>2413.2059999999997</v>
      </c>
      <c r="D48" s="17">
        <f t="shared" si="1"/>
        <v>5630.8139999999994</v>
      </c>
      <c r="E48" s="5"/>
      <c r="F48" s="8"/>
      <c r="G48" s="4"/>
      <c r="H48" s="4"/>
      <c r="I48" s="18"/>
    </row>
    <row r="49" spans="1:9" ht="13" x14ac:dyDescent="0.3">
      <c r="A49" s="16">
        <v>8354</v>
      </c>
      <c r="B49" s="22">
        <v>7680.0636400000003</v>
      </c>
      <c r="C49" s="17">
        <f t="shared" si="0"/>
        <v>2304.019092</v>
      </c>
      <c r="D49" s="17">
        <f t="shared" si="1"/>
        <v>5376.0445479999998</v>
      </c>
      <c r="E49" s="5"/>
      <c r="F49" s="8"/>
      <c r="G49" s="4"/>
      <c r="H49" s="4"/>
      <c r="I49" s="18"/>
    </row>
    <row r="50" spans="1:9" ht="13" x14ac:dyDescent="0.3">
      <c r="A50" s="16">
        <v>8420</v>
      </c>
      <c r="B50" s="22">
        <v>1010.9933</v>
      </c>
      <c r="C50" s="17">
        <f t="shared" si="0"/>
        <v>303.29798999999997</v>
      </c>
      <c r="D50" s="17">
        <f t="shared" si="1"/>
        <v>707.69530999999995</v>
      </c>
      <c r="E50" s="5"/>
      <c r="F50" s="8"/>
      <c r="G50" s="4"/>
      <c r="H50" s="4"/>
      <c r="I50" s="18"/>
    </row>
    <row r="51" spans="1:9" ht="13" x14ac:dyDescent="0.3">
      <c r="A51" s="16">
        <v>8421</v>
      </c>
      <c r="B51" s="22">
        <v>147.0735</v>
      </c>
      <c r="C51" s="17">
        <f t="shared" si="0"/>
        <v>44.122049999999994</v>
      </c>
      <c r="D51" s="17">
        <f t="shared" si="1"/>
        <v>102.95144999999999</v>
      </c>
      <c r="E51" s="5"/>
      <c r="F51" s="8"/>
      <c r="G51" s="4"/>
      <c r="H51" s="4"/>
      <c r="I51" s="18"/>
    </row>
    <row r="52" spans="1:9" ht="13" x14ac:dyDescent="0.3">
      <c r="A52" s="16">
        <v>8489</v>
      </c>
      <c r="B52" s="22">
        <v>6.0030000000000001</v>
      </c>
      <c r="C52" s="17">
        <f t="shared" si="0"/>
        <v>1.8008999999999999</v>
      </c>
      <c r="D52" s="17">
        <f t="shared" si="1"/>
        <v>4.2020999999999997</v>
      </c>
      <c r="E52" s="5"/>
      <c r="F52" s="8"/>
      <c r="G52" s="4"/>
      <c r="H52" s="4"/>
      <c r="I52" s="18"/>
    </row>
    <row r="53" spans="1:9" ht="13" x14ac:dyDescent="0.3">
      <c r="A53" s="16">
        <v>8610</v>
      </c>
      <c r="B53" s="22">
        <v>930.46499999999992</v>
      </c>
      <c r="C53" s="17">
        <f t="shared" si="0"/>
        <v>279.13949999999994</v>
      </c>
      <c r="D53" s="17">
        <f t="shared" si="1"/>
        <v>651.32549999999992</v>
      </c>
      <c r="E53" s="5"/>
      <c r="F53" s="8"/>
      <c r="G53" s="4"/>
      <c r="H53" s="4"/>
      <c r="I53" s="18"/>
    </row>
    <row r="54" spans="1:9" ht="13" x14ac:dyDescent="0.3">
      <c r="A54" s="16">
        <v>8802</v>
      </c>
      <c r="B54" s="22">
        <v>337.98309999999998</v>
      </c>
      <c r="C54" s="17">
        <f t="shared" si="0"/>
        <v>101.39492999999999</v>
      </c>
      <c r="D54" s="17">
        <f t="shared" si="1"/>
        <v>236.58816999999996</v>
      </c>
      <c r="E54" s="5"/>
      <c r="F54" s="8"/>
      <c r="G54" s="4"/>
      <c r="H54" s="4"/>
      <c r="I54" s="18"/>
    </row>
    <row r="55" spans="1:9" ht="13" x14ac:dyDescent="0.3">
      <c r="A55" s="16">
        <v>8809</v>
      </c>
      <c r="B55" s="22">
        <v>68902.172999999995</v>
      </c>
      <c r="C55" s="17">
        <f t="shared" si="0"/>
        <v>20670.651899999997</v>
      </c>
      <c r="D55" s="17">
        <f t="shared" si="1"/>
        <v>48231.521099999991</v>
      </c>
      <c r="E55" s="5"/>
      <c r="F55" s="8"/>
      <c r="G55" s="4"/>
      <c r="H55" s="4"/>
      <c r="I55" s="18"/>
    </row>
    <row r="56" spans="1:9" ht="13" x14ac:dyDescent="0.3">
      <c r="A56" s="16">
        <v>9078</v>
      </c>
      <c r="B56" s="22">
        <v>48.024000000000001</v>
      </c>
      <c r="C56" s="17">
        <f>B56*0.35</f>
        <v>16.808399999999999</v>
      </c>
      <c r="D56" s="17">
        <f>B56*0.65</f>
        <v>31.215600000000002</v>
      </c>
      <c r="E56" s="5" t="s">
        <v>13</v>
      </c>
      <c r="F56" s="8"/>
      <c r="G56" s="4"/>
      <c r="H56" s="4"/>
      <c r="I56" s="18"/>
    </row>
    <row r="57" spans="1:9" ht="13" x14ac:dyDescent="0.3">
      <c r="A57" s="16">
        <v>9126</v>
      </c>
      <c r="B57" s="22">
        <v>3.0014999999999996</v>
      </c>
      <c r="C57" s="17">
        <f t="shared" si="0"/>
        <v>0.90044999999999986</v>
      </c>
      <c r="D57" s="17">
        <f t="shared" si="1"/>
        <v>2.1010499999999994</v>
      </c>
      <c r="E57" s="5"/>
      <c r="F57" s="8"/>
      <c r="G57" s="4"/>
      <c r="H57" s="4"/>
      <c r="I57" s="18"/>
    </row>
    <row r="58" spans="1:9" ht="13" x14ac:dyDescent="0.3">
      <c r="A58" s="16">
        <v>9133</v>
      </c>
      <c r="B58" s="22">
        <v>1734.8670000000002</v>
      </c>
      <c r="C58" s="17">
        <f t="shared" si="0"/>
        <v>520.46010000000001</v>
      </c>
      <c r="D58" s="17">
        <f t="shared" si="1"/>
        <v>1214.4069</v>
      </c>
      <c r="E58" s="5"/>
      <c r="F58" s="8"/>
      <c r="G58" s="4"/>
      <c r="H58" s="4"/>
      <c r="I58" s="18"/>
    </row>
    <row r="59" spans="1:9" ht="13" x14ac:dyDescent="0.3">
      <c r="A59" s="16">
        <v>9212</v>
      </c>
      <c r="B59" s="22">
        <v>1988.9939999999999</v>
      </c>
      <c r="C59" s="17">
        <f t="shared" si="0"/>
        <v>596.69819999999993</v>
      </c>
      <c r="D59" s="17">
        <f t="shared" si="1"/>
        <v>1392.2957999999999</v>
      </c>
      <c r="E59" s="5"/>
      <c r="F59" s="8"/>
      <c r="G59" s="4"/>
      <c r="H59" s="4"/>
      <c r="I59" s="18"/>
    </row>
    <row r="60" spans="1:9" ht="13" x14ac:dyDescent="0.3">
      <c r="A60" s="16">
        <v>9293</v>
      </c>
      <c r="B60" s="22">
        <v>10.005000000000001</v>
      </c>
      <c r="C60" s="17">
        <f t="shared" si="0"/>
        <v>3.0015000000000001</v>
      </c>
      <c r="D60" s="17">
        <f t="shared" si="1"/>
        <v>7.0034999999999998</v>
      </c>
      <c r="E60" s="5"/>
      <c r="F60" s="8"/>
      <c r="G60" s="4"/>
      <c r="H60" s="4"/>
      <c r="I60" s="18"/>
    </row>
    <row r="61" spans="1:9" ht="13" x14ac:dyDescent="0.3">
      <c r="A61" s="16">
        <v>9303</v>
      </c>
      <c r="B61" s="22">
        <v>14.007</v>
      </c>
      <c r="C61" s="17">
        <f t="shared" si="0"/>
        <v>4.2020999999999997</v>
      </c>
      <c r="D61" s="17">
        <f t="shared" si="1"/>
        <v>9.8048999999999999</v>
      </c>
      <c r="E61" s="5"/>
      <c r="F61" s="8"/>
      <c r="G61" s="4"/>
      <c r="H61" s="4"/>
      <c r="I61" s="18"/>
    </row>
    <row r="62" spans="1:9" ht="13" x14ac:dyDescent="0.3">
      <c r="A62" s="16">
        <v>9323</v>
      </c>
      <c r="B62" s="22">
        <v>113.7916</v>
      </c>
      <c r="C62" s="17">
        <f t="shared" si="0"/>
        <v>34.137479999999996</v>
      </c>
      <c r="D62" s="17">
        <f t="shared" si="1"/>
        <v>79.654119999999992</v>
      </c>
      <c r="E62" s="5"/>
      <c r="F62" s="8"/>
      <c r="G62" s="4"/>
      <c r="H62" s="4"/>
      <c r="I62" s="18"/>
    </row>
    <row r="63" spans="1:9" ht="13" x14ac:dyDescent="0.3">
      <c r="A63" s="16">
        <v>9339</v>
      </c>
      <c r="B63" s="22">
        <v>5.8769</v>
      </c>
      <c r="C63" s="17">
        <f t="shared" si="0"/>
        <v>1.7630699999999999</v>
      </c>
      <c r="D63" s="17">
        <f t="shared" si="1"/>
        <v>4.1138300000000001</v>
      </c>
      <c r="E63" s="5"/>
      <c r="F63" s="8"/>
      <c r="G63" s="4"/>
      <c r="H63" s="4"/>
      <c r="I63" s="18"/>
    </row>
    <row r="64" spans="1:9" ht="13" x14ac:dyDescent="0.3">
      <c r="A64" s="16">
        <v>9353</v>
      </c>
      <c r="B64" s="22">
        <v>1935.0315000000001</v>
      </c>
      <c r="C64" s="17">
        <f t="shared" si="0"/>
        <v>580.50945000000002</v>
      </c>
      <c r="D64" s="17">
        <f t="shared" si="1"/>
        <v>1354.52205</v>
      </c>
      <c r="E64" s="5"/>
      <c r="F64" s="8"/>
      <c r="G64" s="4"/>
      <c r="H64" s="4"/>
      <c r="I64" s="18"/>
    </row>
    <row r="65" spans="1:9" ht="13" x14ac:dyDescent="0.3">
      <c r="A65" s="16">
        <v>9394</v>
      </c>
      <c r="B65" s="22">
        <v>7161.97865</v>
      </c>
      <c r="C65" s="17">
        <f t="shared" si="0"/>
        <v>2148.5935949999998</v>
      </c>
      <c r="D65" s="17">
        <f t="shared" si="1"/>
        <v>5013.3850549999997</v>
      </c>
      <c r="E65" s="5"/>
      <c r="F65" s="8"/>
      <c r="G65" s="4"/>
      <c r="H65" s="4"/>
      <c r="I65" s="18"/>
    </row>
    <row r="66" spans="1:9" ht="13" x14ac:dyDescent="0.3">
      <c r="A66" s="16">
        <v>9399</v>
      </c>
      <c r="B66" s="22">
        <v>704.35199999999998</v>
      </c>
      <c r="C66" s="17">
        <f t="shared" si="0"/>
        <v>211.3056</v>
      </c>
      <c r="D66" s="17">
        <f t="shared" si="1"/>
        <v>493.04639999999995</v>
      </c>
      <c r="E66" s="5"/>
      <c r="F66" s="8"/>
      <c r="G66" s="4"/>
      <c r="H66" s="4"/>
      <c r="I66" s="18"/>
    </row>
    <row r="67" spans="1:9" ht="13" x14ac:dyDescent="0.3">
      <c r="A67" s="16">
        <v>9441</v>
      </c>
      <c r="B67" s="22">
        <v>430.21500000000003</v>
      </c>
      <c r="C67" s="17">
        <f t="shared" si="0"/>
        <v>129.06450000000001</v>
      </c>
      <c r="D67" s="17">
        <f t="shared" si="1"/>
        <v>301.15050000000002</v>
      </c>
      <c r="E67" s="5"/>
      <c r="F67" s="8"/>
      <c r="G67" s="4"/>
      <c r="H67" s="4"/>
      <c r="I67" s="18"/>
    </row>
    <row r="68" spans="1:9" ht="13" x14ac:dyDescent="0.3">
      <c r="A68" s="16">
        <v>9455</v>
      </c>
      <c r="B68" s="22">
        <v>152.07599999999999</v>
      </c>
      <c r="C68" s="17">
        <f t="shared" ref="C68:C118" si="2">B68*0.3</f>
        <v>45.622799999999998</v>
      </c>
      <c r="D68" s="17">
        <f t="shared" ref="D68:D118" si="3">B68*0.7</f>
        <v>106.4532</v>
      </c>
      <c r="E68" s="5"/>
      <c r="F68" s="8"/>
      <c r="G68" s="4"/>
      <c r="H68" s="4"/>
      <c r="I68" s="18"/>
    </row>
    <row r="69" spans="1:9" ht="13" x14ac:dyDescent="0.3">
      <c r="A69" s="16">
        <v>9456</v>
      </c>
      <c r="B69" s="22">
        <v>136.06799999999998</v>
      </c>
      <c r="C69" s="17">
        <f t="shared" si="2"/>
        <v>40.820399999999992</v>
      </c>
      <c r="D69" s="17">
        <f t="shared" si="3"/>
        <v>95.247599999999977</v>
      </c>
      <c r="E69" s="5"/>
      <c r="F69" s="8"/>
      <c r="G69" s="4"/>
      <c r="H69" s="4"/>
      <c r="I69" s="18"/>
    </row>
    <row r="70" spans="1:9" ht="13" x14ac:dyDescent="0.3">
      <c r="A70" s="16">
        <v>9460</v>
      </c>
      <c r="B70" s="22">
        <v>438.21899999999999</v>
      </c>
      <c r="C70" s="17">
        <f t="shared" si="2"/>
        <v>131.4657</v>
      </c>
      <c r="D70" s="17">
        <f t="shared" si="3"/>
        <v>306.75329999999997</v>
      </c>
      <c r="E70" s="5"/>
      <c r="F70" s="8"/>
      <c r="G70" s="4"/>
      <c r="H70" s="4"/>
      <c r="I70" s="18"/>
    </row>
    <row r="71" spans="1:9" ht="13" x14ac:dyDescent="0.3">
      <c r="A71" s="16">
        <v>9478</v>
      </c>
      <c r="B71" s="22">
        <v>3.0015000000000001</v>
      </c>
      <c r="C71" s="17">
        <f t="shared" si="2"/>
        <v>0.90044999999999997</v>
      </c>
      <c r="D71" s="17">
        <f t="shared" si="3"/>
        <v>2.1010499999999999</v>
      </c>
      <c r="E71" s="5"/>
      <c r="F71" s="8"/>
      <c r="G71" s="4"/>
      <c r="H71" s="4"/>
      <c r="I71" s="18"/>
    </row>
    <row r="72" spans="1:9" ht="13" x14ac:dyDescent="0.3">
      <c r="A72" s="16">
        <v>9480</v>
      </c>
      <c r="B72" s="22">
        <v>24.012</v>
      </c>
      <c r="C72" s="17">
        <f t="shared" si="2"/>
        <v>7.2035999999999998</v>
      </c>
      <c r="D72" s="17">
        <f t="shared" si="3"/>
        <v>16.808399999999999</v>
      </c>
      <c r="E72" s="5"/>
      <c r="F72" s="8"/>
      <c r="G72" s="4"/>
      <c r="H72" s="4"/>
      <c r="I72" s="18"/>
    </row>
    <row r="73" spans="1:9" ht="13" x14ac:dyDescent="0.3">
      <c r="A73" s="16">
        <v>9484</v>
      </c>
      <c r="B73" s="22">
        <v>3.0014999999999996</v>
      </c>
      <c r="C73" s="17">
        <f t="shared" si="2"/>
        <v>0.90044999999999986</v>
      </c>
      <c r="D73" s="17">
        <f t="shared" si="3"/>
        <v>2.1010499999999994</v>
      </c>
      <c r="E73" s="5"/>
      <c r="F73" s="8"/>
      <c r="G73" s="4"/>
      <c r="H73" s="4"/>
      <c r="I73" s="18"/>
    </row>
    <row r="74" spans="1:9" ht="13" x14ac:dyDescent="0.3">
      <c r="A74" s="16">
        <v>9515</v>
      </c>
      <c r="B74" s="22">
        <v>24.1846</v>
      </c>
      <c r="C74" s="17">
        <f t="shared" si="2"/>
        <v>7.2553799999999997</v>
      </c>
      <c r="D74" s="17">
        <f t="shared" si="3"/>
        <v>16.929219999999997</v>
      </c>
      <c r="E74" s="5"/>
      <c r="F74" s="8"/>
      <c r="G74" s="4"/>
      <c r="H74" s="4"/>
      <c r="I74" s="18"/>
    </row>
    <row r="75" spans="1:9" ht="13" x14ac:dyDescent="0.3">
      <c r="A75" s="16">
        <v>9516</v>
      </c>
      <c r="B75" s="22">
        <v>6.0030000000000001</v>
      </c>
      <c r="C75" s="17">
        <f t="shared" si="2"/>
        <v>1.8008999999999999</v>
      </c>
      <c r="D75" s="17">
        <f t="shared" si="3"/>
        <v>4.2020999999999997</v>
      </c>
      <c r="E75" s="5"/>
      <c r="F75" s="8"/>
      <c r="G75" s="4"/>
      <c r="H75" s="4"/>
      <c r="I75" s="18"/>
    </row>
    <row r="76" spans="1:9" ht="13" x14ac:dyDescent="0.3">
      <c r="A76" s="16">
        <v>9522</v>
      </c>
      <c r="B76" s="22">
        <v>1240.7033999999999</v>
      </c>
      <c r="C76" s="17">
        <f t="shared" si="2"/>
        <v>372.21101999999996</v>
      </c>
      <c r="D76" s="17">
        <f t="shared" si="3"/>
        <v>868.49237999999991</v>
      </c>
      <c r="E76" s="5"/>
      <c r="F76" s="8"/>
      <c r="G76" s="4"/>
      <c r="H76" s="4"/>
      <c r="I76" s="18"/>
    </row>
    <row r="77" spans="1:9" ht="13" x14ac:dyDescent="0.3">
      <c r="A77" s="16">
        <v>9525</v>
      </c>
      <c r="B77" s="22">
        <v>316.15800000000002</v>
      </c>
      <c r="C77" s="17">
        <f t="shared" si="2"/>
        <v>94.847400000000007</v>
      </c>
      <c r="D77" s="17">
        <f t="shared" si="3"/>
        <v>221.31059999999999</v>
      </c>
      <c r="E77" s="5"/>
      <c r="F77" s="8"/>
      <c r="G77" s="4"/>
      <c r="H77" s="4"/>
      <c r="I77" s="18"/>
    </row>
    <row r="78" spans="1:9" ht="13" x14ac:dyDescent="0.3">
      <c r="A78" s="16">
        <v>9527</v>
      </c>
      <c r="B78" s="22">
        <v>42.021000000000001</v>
      </c>
      <c r="C78" s="17">
        <f t="shared" si="2"/>
        <v>12.606299999999999</v>
      </c>
      <c r="D78" s="17">
        <f t="shared" si="3"/>
        <v>29.4147</v>
      </c>
      <c r="E78" s="5"/>
      <c r="F78" s="8"/>
      <c r="G78" s="4"/>
      <c r="H78" s="4"/>
      <c r="I78" s="18"/>
    </row>
    <row r="79" spans="1:9" ht="13" x14ac:dyDescent="0.3">
      <c r="A79" s="16">
        <v>9542</v>
      </c>
      <c r="B79" s="22">
        <v>1578.7890000000002</v>
      </c>
      <c r="C79" s="17">
        <f t="shared" si="2"/>
        <v>473.63670000000002</v>
      </c>
      <c r="D79" s="17">
        <f t="shared" si="3"/>
        <v>1105.1523</v>
      </c>
      <c r="E79" s="5"/>
      <c r="F79" s="8"/>
      <c r="G79" s="4"/>
      <c r="H79" s="4"/>
      <c r="I79" s="18"/>
    </row>
    <row r="80" spans="1:9" ht="13" x14ac:dyDescent="0.3">
      <c r="A80" s="16">
        <v>9544</v>
      </c>
      <c r="B80" s="22">
        <v>78.039000000000001</v>
      </c>
      <c r="C80" s="17">
        <f t="shared" si="2"/>
        <v>23.4117</v>
      </c>
      <c r="D80" s="17">
        <f t="shared" si="3"/>
        <v>54.627299999999998</v>
      </c>
      <c r="E80" s="5"/>
      <c r="F80" s="8"/>
      <c r="G80" s="4"/>
      <c r="H80" s="4"/>
      <c r="I80" s="18"/>
    </row>
    <row r="81" spans="1:9" ht="13" x14ac:dyDescent="0.3">
      <c r="A81" s="16">
        <v>9545</v>
      </c>
      <c r="B81" s="22">
        <v>1310.655</v>
      </c>
      <c r="C81" s="17">
        <f t="shared" si="2"/>
        <v>393.19649999999996</v>
      </c>
      <c r="D81" s="17">
        <f t="shared" si="3"/>
        <v>917.45849999999996</v>
      </c>
      <c r="E81" s="5"/>
      <c r="F81" s="8"/>
      <c r="G81" s="4"/>
      <c r="H81" s="4"/>
      <c r="I81" s="18"/>
    </row>
    <row r="82" spans="1:9" ht="13" x14ac:dyDescent="0.3">
      <c r="A82" s="16">
        <v>9558</v>
      </c>
      <c r="B82" s="22">
        <v>30.015000000000001</v>
      </c>
      <c r="C82" s="17">
        <f t="shared" si="2"/>
        <v>9.0045000000000002</v>
      </c>
      <c r="D82" s="17">
        <f t="shared" si="3"/>
        <v>21.0105</v>
      </c>
      <c r="E82" s="5"/>
      <c r="F82" s="8"/>
      <c r="G82" s="4"/>
      <c r="H82" s="4"/>
      <c r="I82" s="18"/>
    </row>
    <row r="83" spans="1:9" ht="13" x14ac:dyDescent="0.3">
      <c r="A83" s="16">
        <v>9575</v>
      </c>
      <c r="B83" s="22">
        <v>42.104399999999998</v>
      </c>
      <c r="C83" s="17">
        <f t="shared" si="2"/>
        <v>12.631319999999999</v>
      </c>
      <c r="D83" s="17">
        <f t="shared" si="3"/>
        <v>29.473079999999996</v>
      </c>
      <c r="E83" s="5"/>
      <c r="F83" s="8"/>
      <c r="G83" s="4"/>
      <c r="H83" s="4"/>
      <c r="I83" s="18"/>
    </row>
    <row r="84" spans="1:9" ht="13" x14ac:dyDescent="0.3">
      <c r="A84" s="16">
        <v>9580</v>
      </c>
      <c r="B84" s="22">
        <v>105.05249999999999</v>
      </c>
      <c r="C84" s="17">
        <f t="shared" si="2"/>
        <v>31.515749999999997</v>
      </c>
      <c r="D84" s="17">
        <f t="shared" si="3"/>
        <v>73.536749999999998</v>
      </c>
      <c r="E84" s="5"/>
      <c r="F84" s="8"/>
      <c r="G84" s="4"/>
      <c r="H84" s="4"/>
      <c r="I84" s="18"/>
    </row>
    <row r="85" spans="1:9" ht="13" x14ac:dyDescent="0.3">
      <c r="A85" s="16">
        <v>9596</v>
      </c>
      <c r="B85" s="22">
        <v>1064.5319999999999</v>
      </c>
      <c r="C85" s="17">
        <f t="shared" si="2"/>
        <v>319.35959999999994</v>
      </c>
      <c r="D85" s="17">
        <f t="shared" si="3"/>
        <v>745.17239999999993</v>
      </c>
      <c r="E85" s="5"/>
      <c r="F85" s="8"/>
      <c r="G85" s="4"/>
      <c r="H85" s="4"/>
      <c r="I85" s="18"/>
    </row>
    <row r="86" spans="1:9" ht="13" x14ac:dyDescent="0.3">
      <c r="A86" s="16">
        <v>9640</v>
      </c>
      <c r="B86" s="22">
        <v>178.089</v>
      </c>
      <c r="C86" s="17">
        <f t="shared" si="2"/>
        <v>53.426699999999997</v>
      </c>
      <c r="D86" s="17">
        <f t="shared" si="3"/>
        <v>124.66229999999999</v>
      </c>
      <c r="E86" s="5"/>
      <c r="F86" s="8"/>
      <c r="G86" s="4"/>
      <c r="H86" s="4"/>
      <c r="I86" s="18"/>
    </row>
    <row r="87" spans="1:9" ht="13" x14ac:dyDescent="0.3">
      <c r="A87" s="16">
        <v>9665</v>
      </c>
      <c r="B87" s="22">
        <v>4671.4017999999996</v>
      </c>
      <c r="C87" s="17">
        <f t="shared" si="2"/>
        <v>1401.4205399999998</v>
      </c>
      <c r="D87" s="17">
        <f t="shared" si="3"/>
        <v>3269.9812599999996</v>
      </c>
      <c r="E87" s="5"/>
      <c r="F87" s="8"/>
      <c r="G87" s="4"/>
      <c r="H87" s="4"/>
      <c r="I87" s="18"/>
    </row>
    <row r="88" spans="1:9" ht="13" x14ac:dyDescent="0.3">
      <c r="A88" s="16">
        <v>9669</v>
      </c>
      <c r="B88" s="22">
        <v>60.03</v>
      </c>
      <c r="C88" s="17">
        <f t="shared" si="2"/>
        <v>18.009</v>
      </c>
      <c r="D88" s="17">
        <f t="shared" si="3"/>
        <v>42.021000000000001</v>
      </c>
      <c r="E88" s="5"/>
      <c r="F88" s="8"/>
      <c r="G88" s="4"/>
      <c r="H88" s="4"/>
      <c r="I88" s="18"/>
    </row>
    <row r="89" spans="1:9" ht="13" x14ac:dyDescent="0.3">
      <c r="A89" s="16">
        <v>9675</v>
      </c>
      <c r="B89" s="22">
        <v>3717.3258999999998</v>
      </c>
      <c r="C89" s="17">
        <f t="shared" si="2"/>
        <v>1115.19777</v>
      </c>
      <c r="D89" s="17">
        <f t="shared" si="3"/>
        <v>2602.1281299999996</v>
      </c>
      <c r="E89" s="5"/>
      <c r="F89" s="8"/>
      <c r="G89" s="4"/>
      <c r="H89" s="4"/>
      <c r="I89" s="18"/>
    </row>
    <row r="90" spans="1:9" ht="13" x14ac:dyDescent="0.3">
      <c r="A90" s="16">
        <v>9700</v>
      </c>
      <c r="B90" s="22">
        <v>1246.6889999999999</v>
      </c>
      <c r="C90" s="17">
        <f t="shared" si="2"/>
        <v>374.00669999999997</v>
      </c>
      <c r="D90" s="17">
        <f t="shared" si="3"/>
        <v>872.68229999999983</v>
      </c>
      <c r="E90" s="5"/>
      <c r="F90" s="8"/>
      <c r="G90" s="4"/>
      <c r="H90" s="4"/>
      <c r="I90" s="18"/>
    </row>
    <row r="91" spans="1:9" ht="13" x14ac:dyDescent="0.3">
      <c r="A91" s="16">
        <v>9716</v>
      </c>
      <c r="B91" s="22">
        <v>0.33360000000000001</v>
      </c>
      <c r="C91" s="17">
        <f t="shared" si="2"/>
        <v>0.10008</v>
      </c>
      <c r="D91" s="17">
        <f t="shared" si="3"/>
        <v>0.23351999999999998</v>
      </c>
      <c r="E91" s="5"/>
      <c r="F91" s="8"/>
      <c r="G91" s="4"/>
      <c r="H91" s="4"/>
      <c r="I91" s="18"/>
    </row>
    <row r="92" spans="1:9" ht="13" x14ac:dyDescent="0.3">
      <c r="A92" s="16">
        <v>9717</v>
      </c>
      <c r="B92" s="22">
        <v>15116.934000000001</v>
      </c>
      <c r="C92" s="17">
        <f t="shared" si="2"/>
        <v>4535.0802000000003</v>
      </c>
      <c r="D92" s="17">
        <f t="shared" si="3"/>
        <v>10581.853800000001</v>
      </c>
      <c r="E92" s="5"/>
      <c r="F92" s="8"/>
      <c r="G92" s="4"/>
      <c r="H92" s="4"/>
      <c r="I92" s="18"/>
    </row>
    <row r="93" spans="1:9" ht="13" x14ac:dyDescent="0.3">
      <c r="A93" s="16">
        <v>9737</v>
      </c>
      <c r="B93" s="22">
        <v>635.65129999999999</v>
      </c>
      <c r="C93" s="17">
        <f t="shared" si="2"/>
        <v>190.69539</v>
      </c>
      <c r="D93" s="17">
        <f t="shared" si="3"/>
        <v>444.95590999999996</v>
      </c>
      <c r="E93" s="5"/>
      <c r="F93" s="8"/>
      <c r="G93" s="4"/>
      <c r="H93" s="4"/>
      <c r="I93" s="18"/>
    </row>
    <row r="94" spans="1:9" ht="13" x14ac:dyDescent="0.3">
      <c r="A94" s="16">
        <v>9744</v>
      </c>
      <c r="B94" s="22">
        <v>42.5214</v>
      </c>
      <c r="C94" s="17">
        <f t="shared" si="2"/>
        <v>12.75642</v>
      </c>
      <c r="D94" s="17">
        <f t="shared" si="3"/>
        <v>29.764979999999998</v>
      </c>
      <c r="E94" s="5"/>
      <c r="F94" s="8"/>
      <c r="G94" s="4"/>
      <c r="H94" s="4"/>
      <c r="I94" s="18"/>
    </row>
    <row r="95" spans="1:9" ht="13" x14ac:dyDescent="0.3">
      <c r="A95" s="16">
        <v>9755</v>
      </c>
      <c r="B95" s="22">
        <v>108.30410000000001</v>
      </c>
      <c r="C95" s="17">
        <f t="shared" si="2"/>
        <v>32.491230000000002</v>
      </c>
      <c r="D95" s="17">
        <f t="shared" si="3"/>
        <v>75.812870000000004</v>
      </c>
      <c r="E95" s="5"/>
      <c r="F95" s="8"/>
      <c r="G95" s="4"/>
      <c r="H95" s="4"/>
      <c r="I95" s="18"/>
    </row>
    <row r="96" spans="1:9" ht="13" x14ac:dyDescent="0.3">
      <c r="A96" s="16">
        <v>9773</v>
      </c>
      <c r="B96" s="22">
        <v>92.045999999999992</v>
      </c>
      <c r="C96" s="17">
        <f t="shared" si="2"/>
        <v>27.613799999999998</v>
      </c>
      <c r="D96" s="17">
        <f t="shared" si="3"/>
        <v>64.432199999999995</v>
      </c>
      <c r="E96" s="5"/>
      <c r="F96" s="8"/>
      <c r="G96" s="4"/>
      <c r="H96" s="4"/>
      <c r="I96" s="18"/>
    </row>
    <row r="97" spans="1:9" ht="13" x14ac:dyDescent="0.3">
      <c r="A97" s="16">
        <v>9775</v>
      </c>
      <c r="B97" s="22">
        <v>112.05599999999998</v>
      </c>
      <c r="C97" s="17">
        <f t="shared" si="2"/>
        <v>33.616799999999991</v>
      </c>
      <c r="D97" s="17">
        <f t="shared" si="3"/>
        <v>78.439199999999985</v>
      </c>
      <c r="E97" s="5"/>
      <c r="F97" s="8"/>
      <c r="G97" s="4"/>
      <c r="H97" s="4"/>
      <c r="I97" s="18"/>
    </row>
    <row r="98" spans="1:9" ht="13" x14ac:dyDescent="0.3">
      <c r="A98" s="16">
        <v>9778</v>
      </c>
      <c r="B98" s="22">
        <v>99.049499999999995</v>
      </c>
      <c r="C98" s="17">
        <f t="shared" si="2"/>
        <v>29.714849999999998</v>
      </c>
      <c r="D98" s="17">
        <f t="shared" si="3"/>
        <v>69.334649999999996</v>
      </c>
      <c r="E98" s="5"/>
      <c r="F98" s="8"/>
      <c r="G98" s="4"/>
      <c r="H98" s="4"/>
      <c r="I98" s="18"/>
    </row>
    <row r="99" spans="1:9" ht="13" x14ac:dyDescent="0.3">
      <c r="A99" s="16">
        <v>9780</v>
      </c>
      <c r="B99" s="22">
        <v>240.11999999999998</v>
      </c>
      <c r="C99" s="17">
        <f t="shared" si="2"/>
        <v>72.035999999999987</v>
      </c>
      <c r="D99" s="17">
        <f t="shared" si="3"/>
        <v>168.08399999999997</v>
      </c>
      <c r="E99" s="5"/>
      <c r="F99" s="8"/>
      <c r="G99" s="4"/>
      <c r="H99" s="4"/>
      <c r="I99" s="18"/>
    </row>
    <row r="100" spans="1:9" ht="13" x14ac:dyDescent="0.3">
      <c r="A100" s="16">
        <v>9793</v>
      </c>
      <c r="B100" s="22">
        <v>432.21600000000001</v>
      </c>
      <c r="C100" s="17">
        <f t="shared" si="2"/>
        <v>129.66479999999999</v>
      </c>
      <c r="D100" s="17">
        <f t="shared" si="3"/>
        <v>302.55119999999999</v>
      </c>
      <c r="E100" s="5"/>
      <c r="F100" s="8"/>
      <c r="G100" s="4"/>
      <c r="H100" s="4"/>
      <c r="I100" s="18"/>
    </row>
    <row r="101" spans="1:9" ht="13" x14ac:dyDescent="0.3">
      <c r="A101" s="16">
        <v>9797</v>
      </c>
      <c r="B101" s="22">
        <v>708.84920000000011</v>
      </c>
      <c r="C101" s="17">
        <f t="shared" si="2"/>
        <v>212.65476000000004</v>
      </c>
      <c r="D101" s="17">
        <f t="shared" si="3"/>
        <v>496.19444000000004</v>
      </c>
      <c r="E101" s="5"/>
      <c r="F101" s="8"/>
      <c r="G101" s="4"/>
      <c r="H101" s="4"/>
      <c r="I101" s="18"/>
    </row>
    <row r="102" spans="1:9" ht="13" x14ac:dyDescent="0.3">
      <c r="A102" s="16">
        <v>9800</v>
      </c>
      <c r="B102" s="22">
        <v>16.007999999999999</v>
      </c>
      <c r="C102" s="17">
        <f t="shared" si="2"/>
        <v>4.8023999999999996</v>
      </c>
      <c r="D102" s="17">
        <f t="shared" si="3"/>
        <v>11.205599999999999</v>
      </c>
      <c r="E102" s="5"/>
      <c r="F102" s="8"/>
      <c r="G102" s="4"/>
      <c r="H102" s="4"/>
      <c r="I102" s="18"/>
    </row>
    <row r="103" spans="1:9" ht="13" x14ac:dyDescent="0.3">
      <c r="A103" s="16">
        <v>9806</v>
      </c>
      <c r="B103" s="22">
        <v>124.062</v>
      </c>
      <c r="C103" s="17">
        <f t="shared" si="2"/>
        <v>37.218599999999995</v>
      </c>
      <c r="D103" s="17">
        <f t="shared" si="3"/>
        <v>86.843399999999988</v>
      </c>
      <c r="E103" s="5"/>
      <c r="F103" s="8"/>
      <c r="G103" s="4"/>
      <c r="H103" s="4"/>
      <c r="I103" s="18"/>
    </row>
    <row r="104" spans="1:9" ht="13" x14ac:dyDescent="0.3">
      <c r="A104" s="16">
        <v>9813</v>
      </c>
      <c r="B104" s="22">
        <v>5645.12</v>
      </c>
      <c r="C104" s="17">
        <f t="shared" si="2"/>
        <v>1693.5359999999998</v>
      </c>
      <c r="D104" s="17">
        <f t="shared" si="3"/>
        <v>3951.5839999999998</v>
      </c>
      <c r="E104" s="5"/>
      <c r="F104" s="8"/>
      <c r="G104" s="4"/>
      <c r="H104" s="4"/>
      <c r="I104" s="18"/>
    </row>
    <row r="105" spans="1:9" ht="13" x14ac:dyDescent="0.3">
      <c r="A105" s="16">
        <v>9830</v>
      </c>
      <c r="B105" s="22">
        <v>134.06700000000001</v>
      </c>
      <c r="C105" s="17">
        <f t="shared" si="2"/>
        <v>40.220100000000002</v>
      </c>
      <c r="D105" s="17">
        <f t="shared" si="3"/>
        <v>93.846900000000005</v>
      </c>
      <c r="E105" s="5"/>
      <c r="F105" s="8"/>
      <c r="G105" s="4"/>
      <c r="H105" s="4"/>
      <c r="I105" s="18"/>
    </row>
    <row r="106" spans="1:9" ht="13" x14ac:dyDescent="0.3">
      <c r="A106" s="16">
        <v>9856</v>
      </c>
      <c r="B106" s="22">
        <v>46.523499999999999</v>
      </c>
      <c r="C106" s="17">
        <f t="shared" si="2"/>
        <v>13.957049999999999</v>
      </c>
      <c r="D106" s="17">
        <f t="shared" si="3"/>
        <v>32.566449999999996</v>
      </c>
      <c r="E106" s="5"/>
      <c r="F106" s="8"/>
      <c r="G106" s="4"/>
      <c r="H106" s="4"/>
      <c r="I106" s="18"/>
    </row>
    <row r="107" spans="1:9" ht="13" x14ac:dyDescent="0.3">
      <c r="A107" s="16">
        <v>9858</v>
      </c>
      <c r="B107" s="22">
        <v>302.20979999999997</v>
      </c>
      <c r="C107" s="17">
        <f t="shared" si="2"/>
        <v>90.662939999999992</v>
      </c>
      <c r="D107" s="17">
        <f t="shared" si="3"/>
        <v>211.54685999999998</v>
      </c>
      <c r="E107" s="5"/>
      <c r="F107" s="8"/>
      <c r="G107" s="4"/>
      <c r="H107" s="4"/>
      <c r="I107" s="18"/>
    </row>
    <row r="108" spans="1:9" ht="13" x14ac:dyDescent="0.3">
      <c r="A108" s="16">
        <v>9870</v>
      </c>
      <c r="B108" s="22">
        <v>590.46179999999993</v>
      </c>
      <c r="C108" s="17">
        <f t="shared" si="2"/>
        <v>177.13853999999998</v>
      </c>
      <c r="D108" s="17">
        <f t="shared" si="3"/>
        <v>413.32325999999995</v>
      </c>
      <c r="E108" s="5"/>
      <c r="F108" s="8"/>
      <c r="G108" s="4"/>
      <c r="H108" s="4"/>
      <c r="I108" s="18"/>
    </row>
    <row r="109" spans="1:9" ht="13" x14ac:dyDescent="0.3">
      <c r="A109" s="16">
        <v>9877</v>
      </c>
      <c r="B109" s="22">
        <v>10.1721</v>
      </c>
      <c r="C109" s="17">
        <f t="shared" si="2"/>
        <v>3.0516299999999998</v>
      </c>
      <c r="D109" s="17">
        <f t="shared" si="3"/>
        <v>7.1204700000000001</v>
      </c>
      <c r="E109" s="5"/>
      <c r="F109" s="8"/>
      <c r="G109" s="4"/>
      <c r="H109" s="4"/>
      <c r="I109" s="18"/>
    </row>
    <row r="110" spans="1:9" ht="13" x14ac:dyDescent="0.3">
      <c r="A110" s="16">
        <v>9880</v>
      </c>
      <c r="B110" s="22">
        <v>2497.2479999999996</v>
      </c>
      <c r="C110" s="17">
        <f t="shared" si="2"/>
        <v>749.17439999999988</v>
      </c>
      <c r="D110" s="17">
        <f t="shared" si="3"/>
        <v>1748.0735999999997</v>
      </c>
      <c r="E110" s="5"/>
      <c r="F110" s="8"/>
      <c r="G110" s="4"/>
      <c r="H110" s="4"/>
      <c r="I110" s="18"/>
    </row>
    <row r="111" spans="1:9" ht="13" x14ac:dyDescent="0.3">
      <c r="A111" s="16">
        <v>9883</v>
      </c>
      <c r="B111" s="22">
        <v>58.363100000000003</v>
      </c>
      <c r="C111" s="17">
        <f t="shared" si="2"/>
        <v>17.508929999999999</v>
      </c>
      <c r="D111" s="17">
        <f t="shared" si="3"/>
        <v>40.854169999999996</v>
      </c>
      <c r="E111" s="5"/>
      <c r="F111" s="8"/>
      <c r="G111" s="4"/>
      <c r="H111" s="4"/>
      <c r="I111" s="18"/>
    </row>
    <row r="112" spans="1:9" ht="13" x14ac:dyDescent="0.3">
      <c r="A112" s="16">
        <v>9885</v>
      </c>
      <c r="B112" s="22">
        <v>115.68855000000001</v>
      </c>
      <c r="C112" s="17">
        <f t="shared" si="2"/>
        <v>34.706564999999998</v>
      </c>
      <c r="D112" s="17">
        <f t="shared" si="3"/>
        <v>80.981984999999995</v>
      </c>
      <c r="E112" s="5"/>
      <c r="F112" s="8"/>
      <c r="G112" s="4"/>
      <c r="H112" s="4"/>
      <c r="I112" s="18"/>
    </row>
    <row r="113" spans="1:9" ht="13" x14ac:dyDescent="0.3">
      <c r="A113" s="16">
        <v>9898</v>
      </c>
      <c r="B113" s="22">
        <v>8548.3554000000004</v>
      </c>
      <c r="C113" s="17">
        <f t="shared" si="2"/>
        <v>2564.5066200000001</v>
      </c>
      <c r="D113" s="17">
        <f t="shared" si="3"/>
        <v>5983.8487800000003</v>
      </c>
      <c r="E113" s="5"/>
      <c r="F113" s="8"/>
      <c r="G113" s="4"/>
      <c r="H113" s="4"/>
      <c r="I113" s="18"/>
    </row>
    <row r="114" spans="1:9" ht="13" x14ac:dyDescent="0.3">
      <c r="A114" s="16">
        <v>9910</v>
      </c>
      <c r="B114" s="22">
        <v>80.039999999999992</v>
      </c>
      <c r="C114" s="17">
        <f t="shared" si="2"/>
        <v>24.011999999999997</v>
      </c>
      <c r="D114" s="17">
        <f t="shared" si="3"/>
        <v>56.027999999999992</v>
      </c>
      <c r="E114" s="5"/>
      <c r="F114" s="8"/>
      <c r="G114" s="4"/>
      <c r="H114" s="4"/>
      <c r="I114" s="18"/>
    </row>
    <row r="115" spans="1:9" ht="13" x14ac:dyDescent="0.3">
      <c r="A115" s="16">
        <v>9919</v>
      </c>
      <c r="B115" s="22">
        <v>120.06</v>
      </c>
      <c r="C115" s="17">
        <f t="shared" si="2"/>
        <v>36.018000000000001</v>
      </c>
      <c r="D115" s="17">
        <f t="shared" si="3"/>
        <v>84.042000000000002</v>
      </c>
      <c r="E115" s="5"/>
      <c r="F115" s="8"/>
      <c r="G115" s="4"/>
      <c r="H115" s="4"/>
      <c r="I115" s="18"/>
    </row>
    <row r="116" spans="1:9" ht="13" x14ac:dyDescent="0.3">
      <c r="A116" s="16">
        <v>9922</v>
      </c>
      <c r="B116" s="22">
        <v>4433.549</v>
      </c>
      <c r="C116" s="17">
        <f t="shared" si="2"/>
        <v>1330.0646999999999</v>
      </c>
      <c r="D116" s="17">
        <f t="shared" si="3"/>
        <v>3103.4842999999996</v>
      </c>
      <c r="E116" s="5"/>
      <c r="F116" s="8"/>
      <c r="G116" s="4"/>
      <c r="H116" s="4"/>
      <c r="I116" s="18"/>
    </row>
    <row r="117" spans="1:9" ht="13" x14ac:dyDescent="0.3">
      <c r="A117" s="16">
        <v>9969</v>
      </c>
      <c r="B117" s="22">
        <v>1026.5129999999999</v>
      </c>
      <c r="C117" s="17">
        <f t="shared" si="2"/>
        <v>307.95389999999998</v>
      </c>
      <c r="D117" s="17">
        <f t="shared" si="3"/>
        <v>718.55909999999994</v>
      </c>
      <c r="E117" s="5"/>
      <c r="F117" s="8"/>
      <c r="G117" s="4"/>
      <c r="H117" s="4"/>
      <c r="I117" s="18"/>
    </row>
    <row r="118" spans="1:9" ht="13.5" thickBot="1" x14ac:dyDescent="0.35">
      <c r="A118" s="16">
        <v>9998</v>
      </c>
      <c r="B118" s="22">
        <v>1197.5985000000001</v>
      </c>
      <c r="C118" s="17">
        <f t="shared" si="2"/>
        <v>359.27955000000003</v>
      </c>
      <c r="D118" s="17">
        <f t="shared" si="3"/>
        <v>838.31894999999997</v>
      </c>
      <c r="E118" s="5"/>
      <c r="F118" s="8"/>
      <c r="G118" s="4"/>
      <c r="H118" s="4"/>
      <c r="I118" s="18"/>
    </row>
    <row r="119" spans="1:9" ht="13" thickTop="1" thickBot="1" x14ac:dyDescent="0.35">
      <c r="B119" s="6">
        <f>SUM(B3:B118)</f>
        <v>706072.20721500018</v>
      </c>
      <c r="C119" s="12">
        <f>SUM(C3:C118)</f>
        <v>210927.62344049994</v>
      </c>
      <c r="D119" s="13">
        <f>SUM(D3:D118)</f>
        <v>495144.5837745</v>
      </c>
      <c r="F119" s="6"/>
      <c r="G119" s="19"/>
      <c r="H119" s="20"/>
    </row>
    <row r="120" spans="1:9" ht="12.5" thickTop="1" x14ac:dyDescent="0.3"/>
  </sheetData>
  <mergeCells count="3">
    <mergeCell ref="A1:A2"/>
    <mergeCell ref="B1:E1"/>
    <mergeCell ref="F1:I1"/>
  </mergeCells>
  <conditionalFormatting sqref="A1">
    <cfRule type="duplicateValues" dxfId="8" priority="25"/>
  </conditionalFormatting>
  <conditionalFormatting sqref="A3:A118">
    <cfRule type="duplicateValues" dxfId="7" priority="3"/>
  </conditionalFormatting>
  <conditionalFormatting sqref="A119:A1048576">
    <cfRule type="duplicateValues" dxfId="6" priority="26"/>
  </conditionalFormatting>
  <conditionalFormatting sqref="N4">
    <cfRule type="duplicateValues" dxfId="5" priority="6"/>
    <cfRule type="duplicateValues" dxfId="4" priority="7"/>
  </conditionalFormatting>
  <conditionalFormatting sqref="N5">
    <cfRule type="duplicateValues" dxfId="3" priority="4"/>
    <cfRule type="duplicateValues" dxfId="2" priority="5"/>
  </conditionalFormatting>
  <conditionalFormatting sqref="N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Premium SMS MT</vt:lpstr>
      <vt:lpstr>CSA</vt:lpstr>
      <vt:lpstr>API with MA</vt:lpstr>
      <vt:lpstr>Voice_Premium</vt:lpstr>
      <vt:lpstr>API- Call Signature</vt:lpstr>
      <vt:lpstr>API-Mega Promo 130</vt:lpstr>
      <vt:lpstr>API with MA </vt:lpstr>
      <vt:lpstr>SMS-MO_Premium</vt:lpstr>
      <vt:lpstr>Premium SMS MT </vt:lpstr>
      <vt:lpstr>CRBT-Partners</vt:lpstr>
      <vt:lpstr>Voice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Abayneh Mekonnen Asfaw</cp:lastModifiedBy>
  <cp:lastPrinted>2025-12-11T07:25:07Z</cp:lastPrinted>
  <dcterms:created xsi:type="dcterms:W3CDTF">2021-11-03T15:58:31Z</dcterms:created>
  <dcterms:modified xsi:type="dcterms:W3CDTF">2026-07-27T11:07:51Z</dcterms:modified>
</cp:coreProperties>
</file>